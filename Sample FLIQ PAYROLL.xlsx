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 11\Documents\FLIQ\FLIQPayroll.v2\"/>
    </mc:Choice>
  </mc:AlternateContent>
  <xr:revisionPtr revIDLastSave="0" documentId="8_{762AA77A-8653-41AF-8617-BEDC8EB82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Q Payroll" sheetId="1" r:id="rId1"/>
  </sheets>
  <calcPr calcId="191029"/>
</workbook>
</file>

<file path=xl/calcChain.xml><?xml version="1.0" encoding="utf-8"?>
<calcChain xmlns="http://schemas.openxmlformats.org/spreadsheetml/2006/main">
  <c r="M5" i="1" l="1"/>
  <c r="I5" i="1"/>
  <c r="V5" i="1"/>
  <c r="S5" i="1"/>
  <c r="AC5" i="1"/>
  <c r="AC4" i="1"/>
  <c r="P5" i="1"/>
  <c r="H4" i="1"/>
  <c r="E6" i="1"/>
  <c r="K6" i="1" s="1"/>
  <c r="AA5" i="1"/>
  <c r="X5" i="1"/>
  <c r="H5" i="1"/>
  <c r="E5" i="1"/>
  <c r="F5" i="1" s="1"/>
  <c r="Z4" i="1"/>
  <c r="X4" i="1"/>
  <c r="V4" i="1"/>
  <c r="S4" i="1"/>
  <c r="P4" i="1"/>
  <c r="M4" i="1"/>
  <c r="E4" i="1"/>
  <c r="F4" i="1" s="1"/>
  <c r="T4" i="1" l="1"/>
  <c r="Y4" i="1"/>
  <c r="Y5" i="1"/>
  <c r="T5" i="1"/>
  <c r="J5" i="1"/>
  <c r="K5" i="1" s="1"/>
  <c r="G5" i="1"/>
  <c r="F6" i="1"/>
  <c r="G6" i="1" s="1"/>
  <c r="N6" i="1" s="1"/>
  <c r="AJ6" i="1" s="1"/>
  <c r="K4" i="1"/>
  <c r="J4" i="1"/>
  <c r="G4" i="1"/>
  <c r="AD4" i="1" l="1"/>
  <c r="W4" i="1"/>
  <c r="Q4" i="1"/>
  <c r="N4" i="1"/>
  <c r="N5" i="1"/>
  <c r="W5" i="1"/>
  <c r="AD5" i="1"/>
  <c r="Q5" i="1"/>
  <c r="AJ5" i="1" l="1"/>
  <c r="AJ4" i="1"/>
</calcChain>
</file>

<file path=xl/sharedStrings.xml><?xml version="1.0" encoding="utf-8"?>
<sst xmlns="http://schemas.openxmlformats.org/spreadsheetml/2006/main" count="65" uniqueCount="49">
  <si>
    <t>Mar. 28 - Apr. 12, 2026</t>
  </si>
  <si>
    <t>SSS &amp; PAG-IBIG LOAN</t>
  </si>
  <si>
    <t>NET SALARY
(BI-MONTHLY)</t>
  </si>
  <si>
    <t>SALARY</t>
  </si>
  <si>
    <t>WORKING</t>
  </si>
  <si>
    <t>ABSENT</t>
  </si>
  <si>
    <t>GROSS SALARY</t>
  </si>
  <si>
    <t>REGULAR OVERTIME</t>
  </si>
  <si>
    <t>SPECIAL NON-WORKING /
SUNDAY - REST DAY</t>
  </si>
  <si>
    <t>REGULAR HOLIDAY</t>
  </si>
  <si>
    <t>NIGHT DIFF</t>
  </si>
  <si>
    <t>LEAVE WITH PAY</t>
  </si>
  <si>
    <t>GOVERNMENT DUES</t>
  </si>
  <si>
    <t>LATE/UNDERTIME</t>
  </si>
  <si>
    <t>SSS SALARY</t>
  </si>
  <si>
    <t>SSS CALAMITY</t>
  </si>
  <si>
    <t>PAG-IBIG  SALARY</t>
  </si>
  <si>
    <t>To Add</t>
  </si>
  <si>
    <t>To Deduct</t>
  </si>
  <si>
    <t>BPI / CASH</t>
  </si>
  <si>
    <t>FULL NAME</t>
  </si>
  <si>
    <t>POSITION</t>
  </si>
  <si>
    <t>MONTHLY SALARY</t>
  </si>
  <si>
    <t>BI-MONTHLY</t>
  </si>
  <si>
    <t>DAILY RATE</t>
  </si>
  <si>
    <t>HOURLY RATE</t>
  </si>
  <si>
    <t>DAYS</t>
  </si>
  <si>
    <t>AMT</t>
  </si>
  <si>
    <t>OT RATE</t>
  </si>
  <si>
    <t>No. of Hours</t>
  </si>
  <si>
    <t>OT PAY</t>
  </si>
  <si>
    <t>No. of Days</t>
  </si>
  <si>
    <t>SSS</t>
  </si>
  <si>
    <t>PHILHEALTH</t>
  </si>
  <si>
    <t>PAG-IBIG</t>
  </si>
  <si>
    <t>HOURS</t>
  </si>
  <si>
    <t>AMOUNT</t>
  </si>
  <si>
    <t>actual salary this cutoff</t>
  </si>
  <si>
    <t>BPI</t>
  </si>
  <si>
    <t>Quality Control Specialist</t>
  </si>
  <si>
    <t>Production Controller</t>
  </si>
  <si>
    <t>Marketing Assistant</t>
  </si>
  <si>
    <t xml:space="preserve"> </t>
  </si>
  <si>
    <t>Daily Salary</t>
  </si>
  <si>
    <t>Monthly Salary</t>
  </si>
  <si>
    <t>Fixed Salary</t>
  </si>
  <si>
    <t>Employee A</t>
  </si>
  <si>
    <t>Employee B</t>
  </si>
  <si>
    <t>Employee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</si>
</sst>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0.0"/>
  </numFmts>
  <fonts count="9">
    <font>
      <sz val="11"/>
      <color theme="1"/>
      <name val="Calibri"/>
      <scheme val="minor"/>
    </font>
    <font>
      <sz val="8"/>
      <color rgb="FF0070C0"/>
      <name val="Quattrocento Sans"/>
    </font>
    <font>
      <sz val="11"/>
      <name val="Calibri"/>
    </font>
    <font>
      <b/>
      <sz val="8"/>
      <color rgb="FF0070C0"/>
      <name val="Quattrocento Sans"/>
    </font>
    <font>
      <sz val="10"/>
      <color theme="1"/>
      <name val="Quattrocento Sans"/>
    </font>
    <font>
      <b/>
      <sz val="10"/>
      <color rgb="FF0070C0"/>
      <name val="Quattrocento Sans"/>
    </font>
    <font>
      <b/>
      <sz val="11"/>
      <color rgb="FF0070C0"/>
      <name val="Quattrocento Sans"/>
    </font>
    <font>
      <sz val="11"/>
      <color theme="1"/>
      <name val="Calibri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6"/>
      </patternFill>
    </fill>
    <fill>
      <patternFill patternType="solid">
        <fgColor theme="0"/>
        <bgColor rgb="FF9BBB5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4" fontId="1" fillId="2" borderId="4" xfId="0" applyNumberFormat="1" applyFont="1" applyFill="1" applyBorder="1" applyAlignment="1">
      <alignment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 wrapText="1"/>
    </xf>
    <xf numFmtId="4" fontId="3" fillId="2" borderId="6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3" fontId="4" fillId="2" borderId="6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9" fontId="4" fillId="2" borderId="6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4" fontId="4" fillId="4" borderId="10" xfId="0" applyNumberFormat="1" applyFont="1" applyFill="1" applyBorder="1" applyAlignment="1">
      <alignment horizontal="center"/>
    </xf>
    <xf numFmtId="4" fontId="4" fillId="4" borderId="9" xfId="0" applyNumberFormat="1" applyFont="1" applyFill="1" applyBorder="1" applyAlignment="1">
      <alignment horizontal="center"/>
    </xf>
    <xf numFmtId="9" fontId="4" fillId="4" borderId="6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/>
    </xf>
    <xf numFmtId="4" fontId="7" fillId="2" borderId="0" xfId="0" applyNumberFormat="1" applyFont="1" applyFill="1"/>
    <xf numFmtId="4" fontId="4" fillId="2" borderId="0" xfId="0" applyNumberFormat="1" applyFont="1" applyFill="1" applyAlignment="1">
      <alignment horizontal="center"/>
    </xf>
    <xf numFmtId="164" fontId="8" fillId="2" borderId="0" xfId="0" applyNumberFormat="1" applyFont="1" applyFill="1"/>
    <xf numFmtId="0" fontId="4" fillId="5" borderId="6" xfId="0" applyFont="1" applyFill="1" applyBorder="1" applyAlignment="1">
      <alignment horizontal="left" vertical="center"/>
    </xf>
    <xf numFmtId="3" fontId="4" fillId="5" borderId="6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65" fontId="4" fillId="5" borderId="6" xfId="0" applyNumberFormat="1" applyFont="1" applyFill="1" applyBorder="1" applyAlignment="1">
      <alignment horizontal="center"/>
    </xf>
    <xf numFmtId="4" fontId="4" fillId="5" borderId="6" xfId="0" applyNumberFormat="1" applyFont="1" applyFill="1" applyBorder="1" applyAlignment="1">
      <alignment horizontal="center"/>
    </xf>
    <xf numFmtId="9" fontId="4" fillId="5" borderId="6" xfId="0" applyNumberFormat="1" applyFont="1" applyFill="1" applyBorder="1" applyAlignment="1">
      <alignment horizontal="center"/>
    </xf>
    <xf numFmtId="4" fontId="4" fillId="6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2" fontId="4" fillId="6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0" fontId="0" fillId="7" borderId="0" xfId="0" applyFill="1"/>
    <xf numFmtId="0" fontId="4" fillId="8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  <xf numFmtId="164" fontId="3" fillId="3" borderId="7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wrapText="1"/>
    </xf>
    <xf numFmtId="4" fontId="1" fillId="2" borderId="7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2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"/>
  <sheetViews>
    <sheetView tabSelected="1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B7" sqref="B7"/>
    </sheetView>
  </sheetViews>
  <sheetFormatPr defaultColWidth="14.44140625" defaultRowHeight="15" customHeight="1"/>
  <cols>
    <col min="1" max="1" width="13.77734375" customWidth="1"/>
    <col min="2" max="2" width="28.44140625" customWidth="1"/>
    <col min="3" max="3" width="32.88671875" customWidth="1"/>
    <col min="4" max="4" width="16.109375" customWidth="1"/>
    <col min="5" max="5" width="10.88671875" customWidth="1"/>
    <col min="6" max="6" width="10" customWidth="1"/>
    <col min="7" max="7" width="11" customWidth="1"/>
    <col min="8" max="8" width="9.109375" customWidth="1"/>
    <col min="9" max="9" width="7.21875" customWidth="1"/>
    <col min="10" max="10" width="7.109375" customWidth="1"/>
    <col min="11" max="11" width="13.88671875" customWidth="1"/>
    <col min="12" max="12" width="8.88671875" customWidth="1"/>
    <col min="13" max="13" width="12.77734375" customWidth="1"/>
    <col min="14" max="14" width="13.77734375" customWidth="1"/>
    <col min="15" max="15" width="8.88671875" customWidth="1"/>
    <col min="16" max="16" width="12.77734375" customWidth="1"/>
    <col min="17" max="17" width="10.5546875" customWidth="1"/>
    <col min="18" max="18" width="8.88671875" customWidth="1"/>
    <col min="19" max="19" width="12.77734375" customWidth="1"/>
    <col min="20" max="20" width="13.77734375" customWidth="1"/>
    <col min="21" max="21" width="8.88671875" customWidth="1"/>
    <col min="22" max="22" width="12.77734375" customWidth="1"/>
    <col min="23" max="23" width="10.5546875" customWidth="1"/>
    <col min="24" max="24" width="12.77734375" customWidth="1"/>
    <col min="25" max="26" width="10.5546875" customWidth="1"/>
    <col min="27" max="27" width="12.77734375" customWidth="1"/>
    <col min="28" max="28" width="10.21875" customWidth="1"/>
    <col min="29" max="29" width="7.21875" customWidth="1"/>
    <col min="30" max="30" width="9.44140625" customWidth="1"/>
    <col min="31" max="31" width="12.21875" customWidth="1"/>
    <col min="32" max="32" width="13.88671875" customWidth="1"/>
    <col min="33" max="33" width="15" customWidth="1"/>
    <col min="34" max="34" width="12.5546875" customWidth="1"/>
    <col min="35" max="35" width="9.44140625" customWidth="1"/>
    <col min="36" max="36" width="17.88671875" customWidth="1"/>
    <col min="37" max="37" width="11.88671875" customWidth="1"/>
  </cols>
  <sheetData>
    <row r="1" spans="1:37" ht="14.25" customHeight="1">
      <c r="A1" s="68"/>
      <c r="B1" s="68"/>
      <c r="C1" s="69"/>
      <c r="D1" s="1" t="s">
        <v>0</v>
      </c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72"/>
      <c r="AA1" s="63"/>
      <c r="AB1" s="63"/>
      <c r="AC1" s="63"/>
      <c r="AD1" s="64"/>
      <c r="AE1" s="72" t="s">
        <v>1</v>
      </c>
      <c r="AF1" s="63"/>
      <c r="AG1" s="64"/>
      <c r="AH1" s="4"/>
      <c r="AI1" s="4"/>
      <c r="AJ1" s="60" t="s">
        <v>2</v>
      </c>
      <c r="AK1" s="5"/>
    </row>
    <row r="2" spans="1:37" ht="27.75" customHeight="1">
      <c r="A2" s="70"/>
      <c r="B2" s="70"/>
      <c r="C2" s="71"/>
      <c r="D2" s="62" t="s">
        <v>3</v>
      </c>
      <c r="E2" s="63"/>
      <c r="F2" s="63"/>
      <c r="G2" s="64"/>
      <c r="H2" s="6" t="s">
        <v>4</v>
      </c>
      <c r="I2" s="65" t="s">
        <v>5</v>
      </c>
      <c r="J2" s="64"/>
      <c r="K2" s="66" t="s">
        <v>6</v>
      </c>
      <c r="L2" s="62" t="s">
        <v>7</v>
      </c>
      <c r="M2" s="63"/>
      <c r="N2" s="64"/>
      <c r="O2" s="73" t="s">
        <v>8</v>
      </c>
      <c r="P2" s="63"/>
      <c r="Q2" s="64"/>
      <c r="R2" s="62" t="s">
        <v>9</v>
      </c>
      <c r="S2" s="63"/>
      <c r="T2" s="64"/>
      <c r="U2" s="62" t="s">
        <v>10</v>
      </c>
      <c r="V2" s="63"/>
      <c r="W2" s="64"/>
      <c r="X2" s="62" t="s">
        <v>11</v>
      </c>
      <c r="Y2" s="64"/>
      <c r="Z2" s="67" t="s">
        <v>12</v>
      </c>
      <c r="AA2" s="63"/>
      <c r="AB2" s="64"/>
      <c r="AC2" s="67" t="s">
        <v>13</v>
      </c>
      <c r="AD2" s="64"/>
      <c r="AE2" s="4" t="s">
        <v>14</v>
      </c>
      <c r="AF2" s="4" t="s">
        <v>15</v>
      </c>
      <c r="AG2" s="4" t="s">
        <v>16</v>
      </c>
      <c r="AH2" s="4" t="s">
        <v>17</v>
      </c>
      <c r="AI2" s="4" t="s">
        <v>18</v>
      </c>
      <c r="AJ2" s="61"/>
      <c r="AK2" s="5" t="s">
        <v>19</v>
      </c>
    </row>
    <row r="3" spans="1:37" ht="14.4">
      <c r="A3" s="7"/>
      <c r="B3" s="7" t="s">
        <v>20</v>
      </c>
      <c r="C3" s="7" t="s">
        <v>21</v>
      </c>
      <c r="D3" s="7" t="s">
        <v>22</v>
      </c>
      <c r="E3" s="8" t="s">
        <v>23</v>
      </c>
      <c r="F3" s="7" t="s">
        <v>24</v>
      </c>
      <c r="G3" s="7" t="s">
        <v>25</v>
      </c>
      <c r="H3" s="9" t="s">
        <v>26</v>
      </c>
      <c r="I3" s="9" t="s">
        <v>26</v>
      </c>
      <c r="J3" s="9" t="s">
        <v>27</v>
      </c>
      <c r="K3" s="61"/>
      <c r="L3" s="7" t="s">
        <v>28</v>
      </c>
      <c r="M3" s="7" t="s">
        <v>29</v>
      </c>
      <c r="N3" s="10" t="s">
        <v>30</v>
      </c>
      <c r="O3" s="7" t="s">
        <v>28</v>
      </c>
      <c r="P3" s="7" t="s">
        <v>29</v>
      </c>
      <c r="Q3" s="10" t="s">
        <v>30</v>
      </c>
      <c r="R3" s="7" t="s">
        <v>28</v>
      </c>
      <c r="S3" s="7" t="s">
        <v>31</v>
      </c>
      <c r="T3" s="10" t="s">
        <v>30</v>
      </c>
      <c r="U3" s="7" t="s">
        <v>28</v>
      </c>
      <c r="V3" s="7" t="s">
        <v>29</v>
      </c>
      <c r="W3" s="10" t="s">
        <v>30</v>
      </c>
      <c r="X3" s="7" t="s">
        <v>31</v>
      </c>
      <c r="Y3" s="10" t="s">
        <v>30</v>
      </c>
      <c r="Z3" s="11" t="s">
        <v>32</v>
      </c>
      <c r="AA3" s="11" t="s">
        <v>33</v>
      </c>
      <c r="AB3" s="11" t="s">
        <v>34</v>
      </c>
      <c r="AC3" s="11" t="s">
        <v>35</v>
      </c>
      <c r="AD3" s="12" t="s">
        <v>36</v>
      </c>
      <c r="AE3" s="13" t="s">
        <v>36</v>
      </c>
      <c r="AF3" s="13" t="s">
        <v>36</v>
      </c>
      <c r="AG3" s="10" t="s">
        <v>36</v>
      </c>
      <c r="AH3" s="10"/>
      <c r="AI3" s="10"/>
      <c r="AJ3" s="5" t="s">
        <v>37</v>
      </c>
      <c r="AK3" s="5"/>
    </row>
    <row r="4" spans="1:37" ht="14.4">
      <c r="A4" s="57" t="s">
        <v>43</v>
      </c>
      <c r="B4" s="15" t="s">
        <v>46</v>
      </c>
      <c r="C4" s="16" t="s">
        <v>39</v>
      </c>
      <c r="D4" s="17">
        <v>12636</v>
      </c>
      <c r="E4" s="17">
        <f t="shared" ref="E4" si="0">D4/2</f>
        <v>6318</v>
      </c>
      <c r="F4" s="18">
        <f t="shared" ref="F4" si="1">E4/13</f>
        <v>486</v>
      </c>
      <c r="G4" s="18">
        <f t="shared" ref="G4" si="2">F4/8</f>
        <v>60.75</v>
      </c>
      <c r="H4" s="14" t="e">
        <f>#REF!</f>
        <v>#REF!</v>
      </c>
      <c r="I4" s="14">
        <v>0</v>
      </c>
      <c r="J4" s="19">
        <f t="shared" ref="J4:J5" si="3">F4*I4</f>
        <v>0</v>
      </c>
      <c r="K4" s="20" t="e">
        <f>F4*H4</f>
        <v>#REF!</v>
      </c>
      <c r="L4" s="21">
        <v>1.25</v>
      </c>
      <c r="M4" s="14" t="e">
        <f>#REF!</f>
        <v>#REF!</v>
      </c>
      <c r="N4" s="20" t="e">
        <f t="shared" ref="N4:N6" si="4">G4*M4*L4</f>
        <v>#REF!</v>
      </c>
      <c r="O4" s="27">
        <v>1.3</v>
      </c>
      <c r="P4" s="23" t="e">
        <f>#REF!</f>
        <v>#REF!</v>
      </c>
      <c r="Q4" s="20" t="e">
        <f t="shared" ref="Q4:Q5" si="5">G4*P4*O4</f>
        <v>#REF!</v>
      </c>
      <c r="R4" s="21">
        <v>1</v>
      </c>
      <c r="S4" s="14" t="e">
        <f>#REF!</f>
        <v>#REF!</v>
      </c>
      <c r="T4" s="20" t="e">
        <f t="shared" ref="T4:T5" si="6">F4*R4*S4</f>
        <v>#REF!</v>
      </c>
      <c r="U4" s="21">
        <v>0.2</v>
      </c>
      <c r="V4" s="14" t="e">
        <f>#REF!</f>
        <v>#REF!</v>
      </c>
      <c r="W4" s="20" t="e">
        <f t="shared" ref="W4:W5" si="7">G4*U4*V4</f>
        <v>#REF!</v>
      </c>
      <c r="X4" s="14" t="e">
        <f>#REF!</f>
        <v>#REF!</v>
      </c>
      <c r="Y4" s="20" t="e">
        <f t="shared" ref="Y4:Y5" si="8">X4*F4</f>
        <v>#REF!</v>
      </c>
      <c r="Z4" s="28">
        <f>625/2</f>
        <v>312.5</v>
      </c>
      <c r="AA4" s="22">
        <v>157.94999999999999</v>
      </c>
      <c r="AB4" s="29">
        <v>100</v>
      </c>
      <c r="AC4" s="23" t="e">
        <f>#REF!</f>
        <v>#REF!</v>
      </c>
      <c r="AD4" s="20" t="e">
        <f t="shared" ref="AD4:AD5" si="9">G4*AC4</f>
        <v>#REF!</v>
      </c>
      <c r="AE4" s="30">
        <v>245.11</v>
      </c>
      <c r="AF4" s="31">
        <v>0</v>
      </c>
      <c r="AG4" s="31">
        <v>497.41</v>
      </c>
      <c r="AH4" s="20">
        <v>0</v>
      </c>
      <c r="AI4" s="20">
        <v>0</v>
      </c>
      <c r="AJ4" s="25" t="e">
        <f t="shared" ref="AJ4:AJ5" si="10">((K4+(N4+Q4+T4+W4+Y4+AH4))-(Z4+AA4+AB4+AD4+AE4+AF4+AG4+AI4))</f>
        <v>#REF!</v>
      </c>
      <c r="AK4" s="26" t="s">
        <v>38</v>
      </c>
    </row>
    <row r="5" spans="1:37" s="56" customFormat="1" ht="15.75" customHeight="1">
      <c r="A5" s="58" t="s">
        <v>44</v>
      </c>
      <c r="B5" s="41" t="s">
        <v>47</v>
      </c>
      <c r="C5" s="41" t="s">
        <v>40</v>
      </c>
      <c r="D5" s="42">
        <v>30000</v>
      </c>
      <c r="E5" s="42">
        <f t="shared" ref="E5:E6" si="11">D5/2</f>
        <v>15000</v>
      </c>
      <c r="F5" s="43">
        <f t="shared" ref="F5" si="12">E5/13</f>
        <v>1153.8461538461538</v>
      </c>
      <c r="G5" s="44">
        <f t="shared" ref="G5:G6" si="13">F5/8</f>
        <v>144.23076923076923</v>
      </c>
      <c r="H5" s="45" t="e">
        <f>#REF!</f>
        <v>#REF!</v>
      </c>
      <c r="I5" s="46" t="e">
        <f>#REF!</f>
        <v>#REF!</v>
      </c>
      <c r="J5" s="47" t="e">
        <f t="shared" si="3"/>
        <v>#REF!</v>
      </c>
      <c r="K5" s="48" t="e">
        <f>E5-J5</f>
        <v>#REF!</v>
      </c>
      <c r="L5" s="49">
        <v>1.25</v>
      </c>
      <c r="M5" s="46" t="e">
        <f>#REF!</f>
        <v>#REF!</v>
      </c>
      <c r="N5" s="50" t="e">
        <f t="shared" si="4"/>
        <v>#REF!</v>
      </c>
      <c r="O5" s="49">
        <v>1.3</v>
      </c>
      <c r="P5" s="46" t="e">
        <f>#REF!</f>
        <v>#REF!</v>
      </c>
      <c r="Q5" s="48" t="e">
        <f t="shared" si="5"/>
        <v>#REF!</v>
      </c>
      <c r="R5" s="49">
        <v>1</v>
      </c>
      <c r="S5" s="46" t="e">
        <f>#REF!</f>
        <v>#REF!</v>
      </c>
      <c r="T5" s="48" t="e">
        <f t="shared" si="6"/>
        <v>#REF!</v>
      </c>
      <c r="U5" s="49">
        <v>0.2</v>
      </c>
      <c r="V5" s="46" t="e">
        <f>#REF!</f>
        <v>#REF!</v>
      </c>
      <c r="W5" s="48" t="e">
        <f t="shared" si="7"/>
        <v>#REF!</v>
      </c>
      <c r="X5" s="46" t="e">
        <f>#REF!</f>
        <v>#REF!</v>
      </c>
      <c r="Y5" s="48" t="e">
        <f t="shared" si="8"/>
        <v>#REF!</v>
      </c>
      <c r="Z5" s="51">
        <v>750</v>
      </c>
      <c r="AA5" s="52">
        <f>D5*5%/2/2</f>
        <v>375</v>
      </c>
      <c r="AB5" s="53">
        <v>100</v>
      </c>
      <c r="AC5" s="46" t="e">
        <f>#REF!</f>
        <v>#REF!</v>
      </c>
      <c r="AD5" s="48" t="e">
        <f t="shared" si="9"/>
        <v>#REF!</v>
      </c>
      <c r="AE5" s="48">
        <v>0</v>
      </c>
      <c r="AF5" s="48">
        <v>0</v>
      </c>
      <c r="AG5" s="48">
        <v>693.74</v>
      </c>
      <c r="AH5" s="48">
        <v>0</v>
      </c>
      <c r="AI5" s="48">
        <v>0</v>
      </c>
      <c r="AJ5" s="54" t="e">
        <f t="shared" si="10"/>
        <v>#REF!</v>
      </c>
      <c r="AK5" s="55" t="s">
        <v>38</v>
      </c>
    </row>
    <row r="6" spans="1:37" ht="15.75" customHeight="1">
      <c r="A6" s="59" t="s">
        <v>45</v>
      </c>
      <c r="B6" s="33" t="s">
        <v>48</v>
      </c>
      <c r="C6" s="34" t="s">
        <v>41</v>
      </c>
      <c r="D6" s="17">
        <v>10000</v>
      </c>
      <c r="E6" s="17">
        <f t="shared" si="11"/>
        <v>5000</v>
      </c>
      <c r="F6" s="18">
        <f t="shared" ref="F6" si="14">E6/13</f>
        <v>384.61538461538464</v>
      </c>
      <c r="G6" s="18">
        <f t="shared" si="13"/>
        <v>48.07692307692308</v>
      </c>
      <c r="H6" s="19">
        <v>0</v>
      </c>
      <c r="I6" s="14">
        <v>0</v>
      </c>
      <c r="J6" s="19">
        <v>0</v>
      </c>
      <c r="K6" s="20">
        <f t="shared" ref="K6" si="15">E6</f>
        <v>5000</v>
      </c>
      <c r="L6" s="32">
        <v>1.25</v>
      </c>
      <c r="M6" s="14">
        <v>0</v>
      </c>
      <c r="N6" s="24">
        <f t="shared" si="4"/>
        <v>0</v>
      </c>
      <c r="O6" s="32">
        <v>1.3</v>
      </c>
      <c r="P6" s="14">
        <v>0</v>
      </c>
      <c r="Q6" s="20">
        <v>0</v>
      </c>
      <c r="R6" s="32">
        <v>1</v>
      </c>
      <c r="S6" s="14"/>
      <c r="T6" s="20">
        <v>0</v>
      </c>
      <c r="U6" s="32">
        <v>0.2</v>
      </c>
      <c r="V6" s="14"/>
      <c r="W6" s="20"/>
      <c r="X6" s="14"/>
      <c r="Y6" s="20"/>
      <c r="Z6" s="28"/>
      <c r="AA6" s="22"/>
      <c r="AB6" s="29"/>
      <c r="AC6" s="14"/>
      <c r="AD6" s="20"/>
      <c r="AE6" s="20"/>
      <c r="AF6" s="20"/>
      <c r="AG6" s="20"/>
      <c r="AH6" s="24">
        <v>0</v>
      </c>
      <c r="AI6" s="24">
        <v>0</v>
      </c>
      <c r="AJ6" s="25">
        <f t="shared" ref="AJ6" si="16">((K6+(N6+Q6+T6+W6+Y6+AH6))-(Z6+AA6+AB6+AD6+AE6+AF6+AG6+AI6))</f>
        <v>5000</v>
      </c>
      <c r="AK6" s="26" t="s">
        <v>38</v>
      </c>
    </row>
    <row r="7" spans="1:37" ht="15.75" customHeight="1">
      <c r="A7" s="35"/>
      <c r="B7" s="36"/>
      <c r="C7" s="36"/>
      <c r="D7" s="35"/>
      <c r="F7" s="35"/>
      <c r="G7" s="37"/>
      <c r="H7" s="35"/>
      <c r="I7" s="35"/>
      <c r="J7" s="35" t="s">
        <v>42</v>
      </c>
      <c r="K7" s="38"/>
      <c r="L7" s="35"/>
      <c r="M7" s="35"/>
      <c r="N7" s="38"/>
      <c r="O7" s="35"/>
      <c r="P7" s="35"/>
      <c r="Q7" s="38"/>
      <c r="R7" s="35"/>
      <c r="S7" s="35"/>
      <c r="T7" s="38"/>
      <c r="U7" s="35"/>
      <c r="V7" s="35"/>
      <c r="W7" s="38"/>
      <c r="X7" s="35"/>
      <c r="Y7" s="38"/>
      <c r="Z7" s="35"/>
      <c r="AA7" s="35"/>
      <c r="AB7" s="35"/>
      <c r="AC7" s="35"/>
      <c r="AD7" s="38"/>
      <c r="AE7" s="39"/>
      <c r="AF7" s="39"/>
      <c r="AG7" s="39"/>
      <c r="AH7" s="39"/>
      <c r="AI7" s="39"/>
      <c r="AJ7" s="40"/>
      <c r="AK7" s="40"/>
    </row>
  </sheetData>
  <mergeCells count="14">
    <mergeCell ref="A1:C2"/>
    <mergeCell ref="Z1:AD1"/>
    <mergeCell ref="AE1:AG1"/>
    <mergeCell ref="L2:N2"/>
    <mergeCell ref="O2:Q2"/>
    <mergeCell ref="R2:T2"/>
    <mergeCell ref="U2:W2"/>
    <mergeCell ref="AJ1:AJ2"/>
    <mergeCell ref="D2:G2"/>
    <mergeCell ref="I2:J2"/>
    <mergeCell ref="K2:K3"/>
    <mergeCell ref="AC2:AD2"/>
    <mergeCell ref="X2:Y2"/>
    <mergeCell ref="Z2:AB2"/>
  </mergeCells>
  <pageMargins left="1" right="1" top="1" bottom="1" header="0" footer="0"/>
  <pageSetup paperSize="14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FLIQ 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Degoma</dc:creator>
  <cp:lastModifiedBy>Brixton Ray Villanueva</cp:lastModifiedBy>
  <cp:lastPrinted>2026-05-25T05:44:22Z</cp:lastPrinted>
  <dcterms:created xsi:type="dcterms:W3CDTF">2026-05-25T05:44:43Z</dcterms:created>
  <dcterms:modified xsi:type="dcterms:W3CDTF">2026-06-21T07:19:30Z</dcterms:modified>
</cp:coreProperties>
</file>