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npd\Downloads\"/>
    </mc:Choice>
  </mc:AlternateContent>
  <xr:revisionPtr revIDLastSave="0" documentId="8_{8098E31D-78DC-4F07-BD90-352D2A9C95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LIQ Payroll" sheetId="1" r:id="rId1"/>
    <sheet name="FLIQ Attend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00" i="2" l="1"/>
  <c r="V300" i="2"/>
  <c r="T55" i="2"/>
  <c r="V55" i="2"/>
  <c r="M5" i="1" s="1"/>
  <c r="T307" i="2"/>
  <c r="V307" i="2" s="1"/>
  <c r="I5" i="1" s="1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V265" i="2"/>
  <c r="T265" i="2"/>
  <c r="T258" i="2"/>
  <c r="V258" i="2" s="1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V5" i="1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T181" i="2"/>
  <c r="V181" i="2" s="1"/>
  <c r="S5" i="1" s="1"/>
  <c r="T174" i="2"/>
  <c r="V174" i="2" s="1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T139" i="2"/>
  <c r="V139" i="2" s="1"/>
  <c r="AC5" i="1" s="1"/>
  <c r="T132" i="2"/>
  <c r="V132" i="2" s="1"/>
  <c r="AC4" i="1" s="1"/>
  <c r="R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R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T97" i="2"/>
  <c r="V97" i="2" s="1"/>
  <c r="P5" i="1" s="1"/>
  <c r="V90" i="2"/>
  <c r="T90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V48" i="2"/>
  <c r="T48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V13" i="2"/>
  <c r="T13" i="2"/>
  <c r="T6" i="2"/>
  <c r="V6" i="2" s="1"/>
  <c r="H4" i="1" s="1"/>
  <c r="E6" i="1"/>
  <c r="K6" i="1" s="1"/>
  <c r="AA5" i="1"/>
  <c r="X5" i="1"/>
  <c r="H5" i="1"/>
  <c r="E5" i="1"/>
  <c r="F5" i="1" s="1"/>
  <c r="Z4" i="1"/>
  <c r="X4" i="1"/>
  <c r="V4" i="1"/>
  <c r="S4" i="1"/>
  <c r="P4" i="1"/>
  <c r="M4" i="1"/>
  <c r="E4" i="1"/>
  <c r="F4" i="1" s="1"/>
  <c r="T4" i="1" l="1"/>
  <c r="Y4" i="1"/>
  <c r="Y5" i="1"/>
  <c r="T5" i="1"/>
  <c r="J5" i="1"/>
  <c r="K5" i="1" s="1"/>
  <c r="G5" i="1"/>
  <c r="F6" i="1"/>
  <c r="G6" i="1" s="1"/>
  <c r="N6" i="1" s="1"/>
  <c r="AJ6" i="1" s="1"/>
  <c r="K4" i="1"/>
  <c r="J4" i="1"/>
  <c r="G4" i="1"/>
  <c r="AD4" i="1" l="1"/>
  <c r="W4" i="1"/>
  <c r="Q4" i="1"/>
  <c r="N4" i="1"/>
  <c r="N5" i="1"/>
  <c r="W5" i="1"/>
  <c r="AD5" i="1"/>
  <c r="Q5" i="1"/>
  <c r="AJ5" i="1" l="1"/>
  <c r="AJ4" i="1"/>
</calcChain>
</file>

<file path=xl/sharedStrings.xml><?xml version="1.0" encoding="utf-8"?>
<sst xmlns="http://schemas.openxmlformats.org/spreadsheetml/2006/main" count="134" uniqueCount="68">
  <si>
    <t>Mar. 28 - Apr. 12, 2026</t>
  </si>
  <si>
    <t>SSS &amp; PAG-IBIG LOAN</t>
  </si>
  <si>
    <t>NET SALARY
(BI-MONTHLY)</t>
  </si>
  <si>
    <t>SALARY</t>
  </si>
  <si>
    <t>WORKING</t>
  </si>
  <si>
    <t>ABSENT</t>
  </si>
  <si>
    <t>GROSS SALARY</t>
  </si>
  <si>
    <t>REGULAR OVERTIME</t>
  </si>
  <si>
    <t>SPECIAL NON-WORKING /
SUNDAY - REST DAY</t>
  </si>
  <si>
    <t>REGULAR HOLIDAY</t>
  </si>
  <si>
    <t>NIGHT DIFF</t>
  </si>
  <si>
    <t>LEAVE WITH PAY</t>
  </si>
  <si>
    <t>GOVERNMENT DUES</t>
  </si>
  <si>
    <t>LATE/UNDERTIME</t>
  </si>
  <si>
    <t>SSS SALARY</t>
  </si>
  <si>
    <t>SSS CALAMITY</t>
  </si>
  <si>
    <t>PAG-IBIG  SALARY</t>
  </si>
  <si>
    <t>To Add</t>
  </si>
  <si>
    <t>To Deduct</t>
  </si>
  <si>
    <t>BPI / CASH</t>
  </si>
  <si>
    <t>FULL NAME</t>
  </si>
  <si>
    <t>POSITION</t>
  </si>
  <si>
    <t>MONTHLY SALARY</t>
  </si>
  <si>
    <t>BI-MONTHLY</t>
  </si>
  <si>
    <t>DAILY RATE</t>
  </si>
  <si>
    <t>HOURLY RATE</t>
  </si>
  <si>
    <t>DAYS</t>
  </si>
  <si>
    <t>AMT</t>
  </si>
  <si>
    <t>OT RATE</t>
  </si>
  <si>
    <t>No. of Hours</t>
  </si>
  <si>
    <t>OT PAY</t>
  </si>
  <si>
    <t>No. of Days</t>
  </si>
  <si>
    <t>SSS</t>
  </si>
  <si>
    <t>PHILHEALTH</t>
  </si>
  <si>
    <t>PAG-IBIG</t>
  </si>
  <si>
    <t>HOURS</t>
  </si>
  <si>
    <t>AMOUNT</t>
  </si>
  <si>
    <t>actual salary this cutoff</t>
  </si>
  <si>
    <t>BPI</t>
  </si>
  <si>
    <t>Bagares, Texie</t>
  </si>
  <si>
    <t>Quality Control Specialist</t>
  </si>
  <si>
    <t>Fabria, Harlene D.</t>
  </si>
  <si>
    <t>Production Controller</t>
  </si>
  <si>
    <t>Marketing Assistant</t>
  </si>
  <si>
    <t xml:space="preserve"> </t>
  </si>
  <si>
    <t>ATTENDANCE</t>
  </si>
  <si>
    <t>Employee Name</t>
  </si>
  <si>
    <t>Total</t>
  </si>
  <si>
    <t>Sat</t>
  </si>
  <si>
    <t>Sun</t>
  </si>
  <si>
    <t>Mon</t>
  </si>
  <si>
    <t>Tue</t>
  </si>
  <si>
    <t>Wed</t>
  </si>
  <si>
    <t>Thu</t>
  </si>
  <si>
    <t>Fri</t>
  </si>
  <si>
    <t>VL</t>
  </si>
  <si>
    <t>REGULAR OVERTIME (1.25)</t>
  </si>
  <si>
    <t>SubTotal</t>
  </si>
  <si>
    <t>SPECIAL OVERTIME (1.3)</t>
  </si>
  <si>
    <t>ADJ</t>
  </si>
  <si>
    <t>LATES and UNDERTIME</t>
  </si>
  <si>
    <t>NIGHT DIFFERENTIAL</t>
  </si>
  <si>
    <t>Daily Salary</t>
  </si>
  <si>
    <t>Monthly Salary</t>
  </si>
  <si>
    <t>Fixed Salary</t>
  </si>
  <si>
    <t>Employee A</t>
  </si>
  <si>
    <t>Employee B</t>
  </si>
  <si>
    <t>Employee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</si>
</sst>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₱&quot;#,##0.00"/>
    <numFmt numFmtId="165" formatCode="0.0"/>
    <numFmt numFmtId="166" formatCode="mmm\ d\,\ yyyy"/>
    <numFmt numFmtId="167" formatCode="mmmm\ d"/>
    <numFmt numFmtId="168" formatCode="mmmm\ d\,\ yyyy"/>
  </numFmts>
  <fonts count="19">
    <font>
      <sz val="11"/>
      <color theme="1"/>
      <name val="Calibri"/>
      <scheme val="minor"/>
    </font>
    <font>
      <sz val="8"/>
      <color rgb="FF0070C0"/>
      <name val="Quattrocento Sans"/>
    </font>
    <font>
      <sz val="11"/>
      <name val="Calibri"/>
    </font>
    <font>
      <b/>
      <sz val="8"/>
      <color rgb="FF0070C0"/>
      <name val="Quattrocento Sans"/>
    </font>
    <font>
      <sz val="10"/>
      <color theme="1"/>
      <name val="Quattrocento Sans"/>
    </font>
    <font>
      <b/>
      <sz val="10"/>
      <color rgb="FF0070C0"/>
      <name val="Quattrocento Sans"/>
    </font>
    <font>
      <b/>
      <sz val="11"/>
      <color rgb="FF0070C0"/>
      <name val="Quattrocento Sans"/>
    </font>
    <font>
      <sz val="10"/>
      <color rgb="FF000000"/>
      <name val="Quattrocento Sans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000000"/>
      <name val="Quattrocento Sans"/>
    </font>
    <font>
      <sz val="12"/>
      <color theme="1"/>
      <name val="Quattrocento Sans"/>
    </font>
    <font>
      <b/>
      <sz val="11"/>
      <color rgb="FF000000"/>
      <name val="Quattrocento Sans"/>
    </font>
    <font>
      <sz val="11"/>
      <color rgb="FF000000"/>
      <name val="Quattrocento Sans"/>
    </font>
    <font>
      <sz val="12"/>
      <color rgb="FF000000"/>
      <name val="Quattrocento Sans"/>
    </font>
    <font>
      <i/>
      <sz val="11"/>
      <color rgb="FF000000"/>
      <name val="Quattrocento Sans"/>
    </font>
    <font>
      <sz val="9"/>
      <color rgb="FF000000"/>
      <name val="Quattrocento Sans"/>
    </font>
    <font>
      <sz val="12"/>
      <color theme="1"/>
      <name val="Calibri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6"/>
      </patternFill>
    </fill>
    <fill>
      <patternFill patternType="solid">
        <fgColor theme="0"/>
        <bgColor rgb="FF9BBB5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4" fontId="1" fillId="2" borderId="4" xfId="0" applyNumberFormat="1" applyFont="1" applyFill="1" applyBorder="1" applyAlignment="1">
      <alignment vertical="center"/>
    </xf>
    <xf numFmtId="2" fontId="1" fillId="2" borderId="6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15" fontId="3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top" wrapText="1"/>
    </xf>
    <xf numFmtId="4" fontId="3" fillId="2" borderId="6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3" fontId="4" fillId="2" borderId="6" xfId="0" applyNumberFormat="1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9" fontId="4" fillId="2" borderId="6" xfId="0" applyNumberFormat="1" applyFont="1" applyFill="1" applyBorder="1" applyAlignment="1">
      <alignment horizontal="center"/>
    </xf>
    <xf numFmtId="2" fontId="4" fillId="4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9" fontId="4" fillId="0" borderId="6" xfId="0" applyNumberFormat="1" applyFont="1" applyBorder="1" applyAlignment="1">
      <alignment horizontal="center"/>
    </xf>
    <xf numFmtId="2" fontId="4" fillId="4" borderId="10" xfId="0" applyNumberFormat="1" applyFont="1" applyFill="1" applyBorder="1" applyAlignment="1">
      <alignment horizontal="center"/>
    </xf>
    <xf numFmtId="1" fontId="4" fillId="4" borderId="9" xfId="0" applyNumberFormat="1" applyFont="1" applyFill="1" applyBorder="1" applyAlignment="1">
      <alignment horizontal="center"/>
    </xf>
    <xf numFmtId="4" fontId="4" fillId="4" borderId="10" xfId="0" applyNumberFormat="1" applyFont="1" applyFill="1" applyBorder="1" applyAlignment="1">
      <alignment horizontal="center"/>
    </xf>
    <xf numFmtId="4" fontId="4" fillId="4" borderId="9" xfId="0" applyNumberFormat="1" applyFont="1" applyFill="1" applyBorder="1" applyAlignment="1">
      <alignment horizontal="center"/>
    </xf>
    <xf numFmtId="9" fontId="4" fillId="4" borderId="6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horizontal="center"/>
    </xf>
    <xf numFmtId="4" fontId="8" fillId="2" borderId="0" xfId="0" applyNumberFormat="1" applyFont="1" applyFill="1"/>
    <xf numFmtId="4" fontId="4" fillId="2" borderId="0" xfId="0" applyNumberFormat="1" applyFont="1" applyFill="1" applyAlignment="1">
      <alignment horizontal="center"/>
    </xf>
    <xf numFmtId="164" fontId="9" fillId="2" borderId="0" xfId="0" applyNumberFormat="1" applyFont="1" applyFill="1"/>
    <xf numFmtId="0" fontId="10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14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7" fillId="3" borderId="6" xfId="0" applyFont="1" applyFill="1" applyBorder="1" applyAlignment="1">
      <alignment horizontal="left"/>
    </xf>
    <xf numFmtId="0" fontId="14" fillId="3" borderId="6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167" fontId="7" fillId="0" borderId="0" xfId="0" applyNumberFormat="1" applyFont="1" applyAlignment="1">
      <alignment horizontal="left"/>
    </xf>
    <xf numFmtId="0" fontId="7" fillId="3" borderId="6" xfId="0" applyFont="1" applyFill="1" applyBorder="1" applyAlignment="1">
      <alignment horizontal="left" vertical="top"/>
    </xf>
    <xf numFmtId="167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 vertical="top"/>
    </xf>
    <xf numFmtId="0" fontId="15" fillId="0" borderId="6" xfId="0" applyFont="1" applyBorder="1" applyAlignment="1">
      <alignment horizontal="center"/>
    </xf>
    <xf numFmtId="0" fontId="7" fillId="0" borderId="6" xfId="0" applyFont="1" applyBorder="1"/>
    <xf numFmtId="0" fontId="11" fillId="3" borderId="6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11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7" fillId="2" borderId="6" xfId="0" applyFont="1" applyFill="1" applyBorder="1" applyAlignment="1">
      <alignment horizontal="left"/>
    </xf>
    <xf numFmtId="0" fontId="17" fillId="4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7" fillId="4" borderId="10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8" fillId="0" borderId="6" xfId="0" applyFont="1" applyBorder="1"/>
    <xf numFmtId="0" fontId="14" fillId="2" borderId="6" xfId="0" applyFont="1" applyFill="1" applyBorder="1" applyAlignment="1">
      <alignment horizontal="center"/>
    </xf>
    <xf numFmtId="0" fontId="14" fillId="0" borderId="6" xfId="0" applyFont="1" applyBorder="1"/>
    <xf numFmtId="0" fontId="8" fillId="0" borderId="6" xfId="0" applyFont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2" fontId="11" fillId="0" borderId="6" xfId="0" applyNumberFormat="1" applyFont="1" applyBorder="1" applyAlignment="1">
      <alignment horizontal="center"/>
    </xf>
    <xf numFmtId="2" fontId="14" fillId="0" borderId="6" xfId="0" applyNumberFormat="1" applyFont="1" applyBorder="1" applyAlignment="1">
      <alignment horizontal="center" vertical="center"/>
    </xf>
    <xf numFmtId="0" fontId="8" fillId="0" borderId="6" xfId="0" applyFont="1" applyBorder="1"/>
    <xf numFmtId="0" fontId="14" fillId="4" borderId="6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7" fillId="0" borderId="8" xfId="0" applyFont="1" applyBorder="1"/>
    <xf numFmtId="0" fontId="13" fillId="0" borderId="8" xfId="0" applyFont="1" applyBorder="1" applyAlignment="1">
      <alignment horizontal="center"/>
    </xf>
    <xf numFmtId="0" fontId="13" fillId="0" borderId="8" xfId="0" applyFont="1" applyBorder="1"/>
    <xf numFmtId="0" fontId="14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7" fillId="3" borderId="10" xfId="0" applyFont="1" applyFill="1" applyBorder="1" applyAlignment="1">
      <alignment vertical="top"/>
    </xf>
    <xf numFmtId="0" fontId="14" fillId="4" borderId="10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7" fillId="0" borderId="10" xfId="0" applyFont="1" applyBorder="1" applyAlignment="1">
      <alignment vertical="top"/>
    </xf>
    <xf numFmtId="0" fontId="7" fillId="0" borderId="10" xfId="0" applyFont="1" applyBorder="1"/>
    <xf numFmtId="0" fontId="14" fillId="2" borderId="1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2" fontId="1" fillId="2" borderId="4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1" fillId="2" borderId="3" xfId="0" applyFont="1" applyFill="1" applyBorder="1" applyAlignment="1">
      <alignment horizontal="center" wrapText="1"/>
    </xf>
    <xf numFmtId="4" fontId="1" fillId="2" borderId="7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/>
    <xf numFmtId="0" fontId="7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6" fontId="13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8" fontId="16" fillId="0" borderId="7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4" fillId="5" borderId="6" xfId="0" applyNumberFormat="1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/>
    </xf>
    <xf numFmtId="1" fontId="4" fillId="6" borderId="6" xfId="0" applyNumberFormat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165" fontId="4" fillId="5" borderId="6" xfId="0" applyNumberFormat="1" applyFont="1" applyFill="1" applyBorder="1" applyAlignment="1">
      <alignment horizontal="center"/>
    </xf>
    <xf numFmtId="4" fontId="4" fillId="5" borderId="6" xfId="0" applyNumberFormat="1" applyFont="1" applyFill="1" applyBorder="1" applyAlignment="1">
      <alignment horizontal="center"/>
    </xf>
    <xf numFmtId="9" fontId="4" fillId="5" borderId="6" xfId="0" applyNumberFormat="1" applyFont="1" applyFill="1" applyBorder="1" applyAlignment="1">
      <alignment horizontal="center"/>
    </xf>
    <xf numFmtId="4" fontId="4" fillId="6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2" fontId="4" fillId="6" borderId="5" xfId="0" applyNumberFormat="1" applyFont="1" applyFill="1" applyBorder="1" applyAlignment="1">
      <alignment horizontal="center"/>
    </xf>
    <xf numFmtId="1" fontId="4" fillId="5" borderId="5" xfId="0" applyNumberFormat="1" applyFont="1" applyFill="1" applyBorder="1" applyAlignment="1">
      <alignment horizontal="center"/>
    </xf>
    <xf numFmtId="164" fontId="5" fillId="5" borderId="6" xfId="0" applyNumberFormat="1" applyFont="1" applyFill="1" applyBorder="1" applyAlignment="1">
      <alignment horizontal="center"/>
    </xf>
    <xf numFmtId="164" fontId="6" fillId="5" borderId="6" xfId="0" applyNumberFormat="1" applyFont="1" applyFill="1" applyBorder="1" applyAlignment="1">
      <alignment horizontal="center"/>
    </xf>
    <xf numFmtId="0" fontId="0" fillId="7" borderId="0" xfId="0" applyFill="1"/>
    <xf numFmtId="0" fontId="4" fillId="8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top"/>
    </xf>
    <xf numFmtId="0" fontId="4" fillId="10" borderId="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"/>
  <sheetViews>
    <sheetView tabSelected="1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B7" sqref="B7"/>
    </sheetView>
  </sheetViews>
  <sheetFormatPr defaultColWidth="14.3984375" defaultRowHeight="15" customHeight="1"/>
  <cols>
    <col min="1" max="1" width="13.73046875" customWidth="1"/>
    <col min="2" max="2" width="28.3984375" customWidth="1"/>
    <col min="3" max="3" width="32.86328125" customWidth="1"/>
    <col min="4" max="4" width="16.1328125" customWidth="1"/>
    <col min="5" max="5" width="10.86328125" customWidth="1"/>
    <col min="6" max="6" width="10" customWidth="1"/>
    <col min="7" max="7" width="11" customWidth="1"/>
    <col min="8" max="8" width="9.1328125" customWidth="1"/>
    <col min="9" max="9" width="7.265625" customWidth="1"/>
    <col min="10" max="10" width="7.1328125" customWidth="1"/>
    <col min="11" max="11" width="13.86328125" customWidth="1"/>
    <col min="12" max="12" width="8.86328125" customWidth="1"/>
    <col min="13" max="13" width="12.73046875" customWidth="1"/>
    <col min="14" max="14" width="13.73046875" customWidth="1"/>
    <col min="15" max="15" width="8.86328125" customWidth="1"/>
    <col min="16" max="16" width="12.73046875" customWidth="1"/>
    <col min="17" max="17" width="10.53125" customWidth="1"/>
    <col min="18" max="18" width="8.86328125" customWidth="1"/>
    <col min="19" max="19" width="12.73046875" customWidth="1"/>
    <col min="20" max="20" width="13.73046875" customWidth="1"/>
    <col min="21" max="21" width="8.86328125" customWidth="1"/>
    <col min="22" max="22" width="12.73046875" customWidth="1"/>
    <col min="23" max="23" width="10.53125" customWidth="1"/>
    <col min="24" max="24" width="12.73046875" customWidth="1"/>
    <col min="25" max="26" width="10.53125" customWidth="1"/>
    <col min="27" max="27" width="12.73046875" customWidth="1"/>
    <col min="28" max="28" width="10.265625" customWidth="1"/>
    <col min="29" max="29" width="7.265625" customWidth="1"/>
    <col min="30" max="30" width="9.3984375" customWidth="1"/>
    <col min="31" max="31" width="12.265625" customWidth="1"/>
    <col min="32" max="32" width="13.86328125" customWidth="1"/>
    <col min="33" max="33" width="15" customWidth="1"/>
    <col min="34" max="34" width="12.53125" customWidth="1"/>
    <col min="35" max="35" width="9.3984375" customWidth="1"/>
    <col min="36" max="36" width="17.86328125" customWidth="1"/>
    <col min="37" max="37" width="11.86328125" customWidth="1"/>
  </cols>
  <sheetData>
    <row r="1" spans="1:37" ht="14.25" customHeight="1">
      <c r="A1" s="109"/>
      <c r="B1" s="109"/>
      <c r="C1" s="110"/>
      <c r="D1" s="1" t="s">
        <v>0</v>
      </c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13"/>
      <c r="AA1" s="105"/>
      <c r="AB1" s="105"/>
      <c r="AC1" s="105"/>
      <c r="AD1" s="106"/>
      <c r="AE1" s="113" t="s">
        <v>1</v>
      </c>
      <c r="AF1" s="105"/>
      <c r="AG1" s="106"/>
      <c r="AH1" s="4"/>
      <c r="AI1" s="4"/>
      <c r="AJ1" s="114" t="s">
        <v>2</v>
      </c>
      <c r="AK1" s="5"/>
    </row>
    <row r="2" spans="1:37" ht="27.75" customHeight="1">
      <c r="A2" s="111"/>
      <c r="B2" s="111"/>
      <c r="C2" s="112"/>
      <c r="D2" s="104" t="s">
        <v>3</v>
      </c>
      <c r="E2" s="105"/>
      <c r="F2" s="105"/>
      <c r="G2" s="106"/>
      <c r="H2" s="6" t="s">
        <v>4</v>
      </c>
      <c r="I2" s="116" t="s">
        <v>5</v>
      </c>
      <c r="J2" s="106"/>
      <c r="K2" s="117" t="s">
        <v>6</v>
      </c>
      <c r="L2" s="104" t="s">
        <v>7</v>
      </c>
      <c r="M2" s="105"/>
      <c r="N2" s="106"/>
      <c r="O2" s="107" t="s">
        <v>8</v>
      </c>
      <c r="P2" s="105"/>
      <c r="Q2" s="106"/>
      <c r="R2" s="104" t="s">
        <v>9</v>
      </c>
      <c r="S2" s="105"/>
      <c r="T2" s="106"/>
      <c r="U2" s="104" t="s">
        <v>10</v>
      </c>
      <c r="V2" s="105"/>
      <c r="W2" s="106"/>
      <c r="X2" s="104" t="s">
        <v>11</v>
      </c>
      <c r="Y2" s="106"/>
      <c r="Z2" s="108" t="s">
        <v>12</v>
      </c>
      <c r="AA2" s="105"/>
      <c r="AB2" s="106"/>
      <c r="AC2" s="108" t="s">
        <v>13</v>
      </c>
      <c r="AD2" s="106"/>
      <c r="AE2" s="4" t="s">
        <v>14</v>
      </c>
      <c r="AF2" s="4" t="s">
        <v>15</v>
      </c>
      <c r="AG2" s="4" t="s">
        <v>16</v>
      </c>
      <c r="AH2" s="4" t="s">
        <v>17</v>
      </c>
      <c r="AI2" s="4" t="s">
        <v>18</v>
      </c>
      <c r="AJ2" s="115"/>
      <c r="AK2" s="5" t="s">
        <v>19</v>
      </c>
    </row>
    <row r="3" spans="1:37" ht="14.25">
      <c r="A3" s="7"/>
      <c r="B3" s="7" t="s">
        <v>20</v>
      </c>
      <c r="C3" s="7" t="s">
        <v>21</v>
      </c>
      <c r="D3" s="7" t="s">
        <v>22</v>
      </c>
      <c r="E3" s="8" t="s">
        <v>23</v>
      </c>
      <c r="F3" s="7" t="s">
        <v>24</v>
      </c>
      <c r="G3" s="7" t="s">
        <v>25</v>
      </c>
      <c r="H3" s="9" t="s">
        <v>26</v>
      </c>
      <c r="I3" s="9" t="s">
        <v>26</v>
      </c>
      <c r="J3" s="9" t="s">
        <v>27</v>
      </c>
      <c r="K3" s="115"/>
      <c r="L3" s="7" t="s">
        <v>28</v>
      </c>
      <c r="M3" s="7" t="s">
        <v>29</v>
      </c>
      <c r="N3" s="10" t="s">
        <v>30</v>
      </c>
      <c r="O3" s="7" t="s">
        <v>28</v>
      </c>
      <c r="P3" s="7" t="s">
        <v>29</v>
      </c>
      <c r="Q3" s="10" t="s">
        <v>30</v>
      </c>
      <c r="R3" s="7" t="s">
        <v>28</v>
      </c>
      <c r="S3" s="7" t="s">
        <v>31</v>
      </c>
      <c r="T3" s="10" t="s">
        <v>30</v>
      </c>
      <c r="U3" s="7" t="s">
        <v>28</v>
      </c>
      <c r="V3" s="7" t="s">
        <v>29</v>
      </c>
      <c r="W3" s="10" t="s">
        <v>30</v>
      </c>
      <c r="X3" s="7" t="s">
        <v>31</v>
      </c>
      <c r="Y3" s="10" t="s">
        <v>30</v>
      </c>
      <c r="Z3" s="11" t="s">
        <v>32</v>
      </c>
      <c r="AA3" s="11" t="s">
        <v>33</v>
      </c>
      <c r="AB3" s="11" t="s">
        <v>34</v>
      </c>
      <c r="AC3" s="11" t="s">
        <v>35</v>
      </c>
      <c r="AD3" s="12" t="s">
        <v>36</v>
      </c>
      <c r="AE3" s="13" t="s">
        <v>36</v>
      </c>
      <c r="AF3" s="13" t="s">
        <v>36</v>
      </c>
      <c r="AG3" s="10" t="s">
        <v>36</v>
      </c>
      <c r="AH3" s="10"/>
      <c r="AI3" s="10"/>
      <c r="AJ3" s="5" t="s">
        <v>37</v>
      </c>
      <c r="AK3" s="5"/>
    </row>
    <row r="4" spans="1:37" ht="14.25">
      <c r="A4" s="145" t="s">
        <v>62</v>
      </c>
      <c r="B4" s="15" t="s">
        <v>65</v>
      </c>
      <c r="C4" s="16" t="s">
        <v>40</v>
      </c>
      <c r="D4" s="17">
        <v>12636</v>
      </c>
      <c r="E4" s="17">
        <f t="shared" ref="E4" si="0">D4/2</f>
        <v>6318</v>
      </c>
      <c r="F4" s="18">
        <f t="shared" ref="F4" si="1">E4/13</f>
        <v>486</v>
      </c>
      <c r="G4" s="18">
        <f t="shared" ref="G4" si="2">F4/8</f>
        <v>60.75</v>
      </c>
      <c r="H4" s="14">
        <f>'FLIQ Attendance'!V6</f>
        <v>10</v>
      </c>
      <c r="I4" s="14">
        <v>0</v>
      </c>
      <c r="J4" s="19">
        <f t="shared" ref="J4:J5" si="3">F4*I4</f>
        <v>0</v>
      </c>
      <c r="K4" s="20">
        <f>F4*H4</f>
        <v>4860</v>
      </c>
      <c r="L4" s="21">
        <v>1.25</v>
      </c>
      <c r="M4" s="14">
        <f>'FLIQ Attendance'!V48</f>
        <v>0</v>
      </c>
      <c r="N4" s="20">
        <f t="shared" ref="N4:N6" si="4">G4*M4*L4</f>
        <v>0</v>
      </c>
      <c r="O4" s="27">
        <v>1.3</v>
      </c>
      <c r="P4" s="23">
        <f>'FLIQ Attendance'!T90</f>
        <v>0</v>
      </c>
      <c r="Q4" s="20">
        <f t="shared" ref="Q4:Q5" si="5">G4*P4*O4</f>
        <v>0</v>
      </c>
      <c r="R4" s="21">
        <v>1</v>
      </c>
      <c r="S4" s="14">
        <f>'FLIQ Attendance'!V174</f>
        <v>2</v>
      </c>
      <c r="T4" s="20">
        <f t="shared" ref="T4:T5" si="6">F4*R4*S4</f>
        <v>972</v>
      </c>
      <c r="U4" s="21">
        <v>0.2</v>
      </c>
      <c r="V4" s="14">
        <f>'FLIQ Attendance'!V216</f>
        <v>0</v>
      </c>
      <c r="W4" s="20">
        <f t="shared" ref="W4:W5" si="7">G4*U4*V4</f>
        <v>0</v>
      </c>
      <c r="X4" s="14">
        <f>'FLIQ Attendance'!V258</f>
        <v>0</v>
      </c>
      <c r="Y4" s="20">
        <f t="shared" ref="Y4:Y5" si="8">X4*F4</f>
        <v>0</v>
      </c>
      <c r="Z4" s="28">
        <f>625/2</f>
        <v>312.5</v>
      </c>
      <c r="AA4" s="22">
        <v>157.94999999999999</v>
      </c>
      <c r="AB4" s="29">
        <v>100</v>
      </c>
      <c r="AC4" s="23">
        <f>'FLIQ Attendance'!V132</f>
        <v>0</v>
      </c>
      <c r="AD4" s="20">
        <f t="shared" ref="AD4:AD5" si="9">G4*AC4</f>
        <v>0</v>
      </c>
      <c r="AE4" s="30">
        <v>245.11</v>
      </c>
      <c r="AF4" s="31">
        <v>0</v>
      </c>
      <c r="AG4" s="31">
        <v>497.41</v>
      </c>
      <c r="AH4" s="20">
        <v>0</v>
      </c>
      <c r="AI4" s="20">
        <v>0</v>
      </c>
      <c r="AJ4" s="25">
        <f t="shared" ref="AJ4:AJ5" si="10">((K4+(N4+Q4+T4+W4+Y4+AH4))-(Z4+AA4+AB4+AD4+AE4+AF4+AG4+AI4))</f>
        <v>4519.03</v>
      </c>
      <c r="AK4" s="26" t="s">
        <v>38</v>
      </c>
    </row>
    <row r="5" spans="1:37" s="144" customFormat="1" ht="15.75" customHeight="1">
      <c r="A5" s="146" t="s">
        <v>63</v>
      </c>
      <c r="B5" s="129" t="s">
        <v>66</v>
      </c>
      <c r="C5" s="129" t="s">
        <v>42</v>
      </c>
      <c r="D5" s="130">
        <v>30000</v>
      </c>
      <c r="E5" s="130">
        <f t="shared" ref="E5:E6" si="11">D5/2</f>
        <v>15000</v>
      </c>
      <c r="F5" s="131">
        <f t="shared" ref="F5" si="12">E5/13</f>
        <v>1153.8461538461538</v>
      </c>
      <c r="G5" s="132">
        <f t="shared" ref="G5:G6" si="13">F5/8</f>
        <v>144.23076923076923</v>
      </c>
      <c r="H5" s="133">
        <f>'FLIQ Attendance'!V13</f>
        <v>8.5</v>
      </c>
      <c r="I5" s="134">
        <f>'FLIQ Attendance'!V307</f>
        <v>0.5</v>
      </c>
      <c r="J5" s="135">
        <f t="shared" si="3"/>
        <v>576.92307692307691</v>
      </c>
      <c r="K5" s="136">
        <f>E5-J5</f>
        <v>14423.076923076924</v>
      </c>
      <c r="L5" s="137">
        <v>1.25</v>
      </c>
      <c r="M5" s="134">
        <f>'FLIQ Attendance'!V55</f>
        <v>0</v>
      </c>
      <c r="N5" s="138">
        <f t="shared" si="4"/>
        <v>0</v>
      </c>
      <c r="O5" s="137">
        <v>1.3</v>
      </c>
      <c r="P5" s="134">
        <f>'FLIQ Attendance'!V97</f>
        <v>0</v>
      </c>
      <c r="Q5" s="136">
        <f t="shared" si="5"/>
        <v>0</v>
      </c>
      <c r="R5" s="137">
        <v>1</v>
      </c>
      <c r="S5" s="134">
        <f>'FLIQ Attendance'!V181</f>
        <v>2</v>
      </c>
      <c r="T5" s="136">
        <f t="shared" si="6"/>
        <v>2307.6923076923076</v>
      </c>
      <c r="U5" s="137">
        <v>0.2</v>
      </c>
      <c r="V5" s="134">
        <f>'FLIQ Attendance'!V223</f>
        <v>0</v>
      </c>
      <c r="W5" s="136">
        <f t="shared" si="7"/>
        <v>0</v>
      </c>
      <c r="X5" s="134">
        <f>'FLIQ Attendance'!V265</f>
        <v>1</v>
      </c>
      <c r="Y5" s="136">
        <f t="shared" si="8"/>
        <v>1153.8461538461538</v>
      </c>
      <c r="Z5" s="139">
        <v>750</v>
      </c>
      <c r="AA5" s="140">
        <f>D5*5%/2/2</f>
        <v>375</v>
      </c>
      <c r="AB5" s="141">
        <v>100</v>
      </c>
      <c r="AC5" s="134">
        <f>'FLIQ Attendance'!V139</f>
        <v>4.1900000000000004</v>
      </c>
      <c r="AD5" s="136">
        <f t="shared" si="9"/>
        <v>604.32692307692309</v>
      </c>
      <c r="AE5" s="136">
        <v>0</v>
      </c>
      <c r="AF5" s="136">
        <v>0</v>
      </c>
      <c r="AG5" s="136">
        <v>693.74</v>
      </c>
      <c r="AH5" s="136">
        <v>0</v>
      </c>
      <c r="AI5" s="136">
        <v>0</v>
      </c>
      <c r="AJ5" s="142">
        <f t="shared" si="10"/>
        <v>15361.548461538463</v>
      </c>
      <c r="AK5" s="143" t="s">
        <v>38</v>
      </c>
    </row>
    <row r="6" spans="1:37" ht="15.75" customHeight="1">
      <c r="A6" s="147" t="s">
        <v>64</v>
      </c>
      <c r="B6" s="33" t="s">
        <v>67</v>
      </c>
      <c r="C6" s="34" t="s">
        <v>43</v>
      </c>
      <c r="D6" s="17">
        <v>10000</v>
      </c>
      <c r="E6" s="17">
        <f t="shared" si="11"/>
        <v>5000</v>
      </c>
      <c r="F6" s="18">
        <f t="shared" ref="F6" si="14">E6/13</f>
        <v>384.61538461538464</v>
      </c>
      <c r="G6" s="18">
        <f t="shared" si="13"/>
        <v>48.07692307692308</v>
      </c>
      <c r="H6" s="19">
        <v>0</v>
      </c>
      <c r="I6" s="14">
        <v>0</v>
      </c>
      <c r="J6" s="19">
        <v>0</v>
      </c>
      <c r="K6" s="20">
        <f t="shared" ref="K6" si="15">E6</f>
        <v>5000</v>
      </c>
      <c r="L6" s="32">
        <v>1.25</v>
      </c>
      <c r="M6" s="14">
        <v>0</v>
      </c>
      <c r="N6" s="24">
        <f t="shared" si="4"/>
        <v>0</v>
      </c>
      <c r="O6" s="32">
        <v>1.3</v>
      </c>
      <c r="P6" s="14">
        <v>0</v>
      </c>
      <c r="Q6" s="20">
        <v>0</v>
      </c>
      <c r="R6" s="32">
        <v>1</v>
      </c>
      <c r="S6" s="14"/>
      <c r="T6" s="20">
        <v>0</v>
      </c>
      <c r="U6" s="32">
        <v>0.2</v>
      </c>
      <c r="V6" s="14"/>
      <c r="W6" s="20"/>
      <c r="X6" s="14"/>
      <c r="Y6" s="20"/>
      <c r="Z6" s="28"/>
      <c r="AA6" s="22"/>
      <c r="AB6" s="29"/>
      <c r="AC6" s="14"/>
      <c r="AD6" s="20"/>
      <c r="AE6" s="20"/>
      <c r="AF6" s="20"/>
      <c r="AG6" s="20"/>
      <c r="AH6" s="24">
        <v>0</v>
      </c>
      <c r="AI6" s="24">
        <v>0</v>
      </c>
      <c r="AJ6" s="25">
        <f t="shared" ref="AJ6" si="16">((K6+(N6+Q6+T6+W6+Y6+AH6))-(Z6+AA6+AB6+AD6+AE6+AF6+AG6+AI6))</f>
        <v>5000</v>
      </c>
      <c r="AK6" s="26" t="s">
        <v>38</v>
      </c>
    </row>
    <row r="7" spans="1:37" ht="15.75" customHeight="1">
      <c r="A7" s="35"/>
      <c r="B7" s="36"/>
      <c r="C7" s="36"/>
      <c r="D7" s="35"/>
      <c r="F7" s="35"/>
      <c r="G7" s="37"/>
      <c r="H7" s="35"/>
      <c r="I7" s="35"/>
      <c r="J7" s="35" t="s">
        <v>44</v>
      </c>
      <c r="K7" s="38"/>
      <c r="L7" s="35"/>
      <c r="M7" s="35"/>
      <c r="N7" s="38"/>
      <c r="O7" s="35"/>
      <c r="P7" s="35"/>
      <c r="Q7" s="38"/>
      <c r="R7" s="35"/>
      <c r="S7" s="35"/>
      <c r="T7" s="38"/>
      <c r="U7" s="35"/>
      <c r="V7" s="35"/>
      <c r="W7" s="38"/>
      <c r="X7" s="35"/>
      <c r="Y7" s="38"/>
      <c r="Z7" s="35"/>
      <c r="AA7" s="35"/>
      <c r="AB7" s="35"/>
      <c r="AC7" s="35"/>
      <c r="AD7" s="38"/>
      <c r="AE7" s="39"/>
      <c r="AF7" s="39"/>
      <c r="AG7" s="39"/>
      <c r="AH7" s="39"/>
      <c r="AI7" s="39"/>
      <c r="AJ7" s="40"/>
      <c r="AK7" s="40"/>
    </row>
  </sheetData>
  <mergeCells count="14">
    <mergeCell ref="AJ1:AJ2"/>
    <mergeCell ref="D2:G2"/>
    <mergeCell ref="I2:J2"/>
    <mergeCell ref="K2:K3"/>
    <mergeCell ref="AC2:AD2"/>
    <mergeCell ref="X2:Y2"/>
    <mergeCell ref="Z2:AB2"/>
    <mergeCell ref="A1:C2"/>
    <mergeCell ref="Z1:AD1"/>
    <mergeCell ref="AE1:AG1"/>
    <mergeCell ref="L2:N2"/>
    <mergeCell ref="O2:Q2"/>
    <mergeCell ref="R2:T2"/>
    <mergeCell ref="U2:W2"/>
  </mergeCells>
  <pageMargins left="1" right="1" top="1" bottom="1" header="0" footer="0"/>
  <pageSetup paperSize="14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15"/>
  <sheetViews>
    <sheetView workbookViewId="0">
      <pane xSplit="1" ySplit="3" topLeftCell="B325" activePane="bottomRight" state="frozen"/>
      <selection pane="topRight" activeCell="B1" sqref="B1"/>
      <selection pane="bottomLeft" activeCell="A4" sqref="A4"/>
      <selection pane="bottomRight" activeCell="A308" sqref="A308:V336"/>
    </sheetView>
  </sheetViews>
  <sheetFormatPr defaultColWidth="14.3984375" defaultRowHeight="15" customHeight="1"/>
  <cols>
    <col min="1" max="1" width="23.265625" customWidth="1"/>
    <col min="2" max="19" width="6.265625" customWidth="1"/>
    <col min="20" max="20" width="9.53125" customWidth="1"/>
    <col min="21" max="21" width="13.73046875" customWidth="1"/>
    <col min="22" max="22" width="9.53125" customWidth="1"/>
    <col min="23" max="23" width="19.3984375" customWidth="1"/>
    <col min="24" max="24" width="14" customWidth="1"/>
    <col min="25" max="25" width="8.86328125" customWidth="1"/>
    <col min="26" max="26" width="16.86328125" customWidth="1"/>
    <col min="27" max="48" width="9.53125" customWidth="1"/>
  </cols>
  <sheetData>
    <row r="1" spans="1:48" ht="13.5" customHeight="1">
      <c r="A1" s="41"/>
      <c r="B1" s="118" t="s">
        <v>45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42"/>
      <c r="U1" s="43"/>
      <c r="V1" s="44"/>
      <c r="W1" s="45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</row>
    <row r="2" spans="1:48" ht="13.5" customHeight="1">
      <c r="A2" s="120" t="s">
        <v>46</v>
      </c>
      <c r="B2" s="47">
        <v>28</v>
      </c>
      <c r="C2" s="47">
        <v>29</v>
      </c>
      <c r="D2" s="47">
        <v>30</v>
      </c>
      <c r="E2" s="47">
        <v>31</v>
      </c>
      <c r="F2" s="47">
        <v>1</v>
      </c>
      <c r="G2" s="47">
        <v>2</v>
      </c>
      <c r="H2" s="47">
        <v>3</v>
      </c>
      <c r="I2" s="47">
        <v>4</v>
      </c>
      <c r="J2" s="47">
        <v>5</v>
      </c>
      <c r="K2" s="47">
        <v>6</v>
      </c>
      <c r="L2" s="47">
        <v>7</v>
      </c>
      <c r="M2" s="47">
        <v>8</v>
      </c>
      <c r="N2" s="47">
        <v>9</v>
      </c>
      <c r="O2" s="47">
        <v>10</v>
      </c>
      <c r="P2" s="47">
        <v>11</v>
      </c>
      <c r="Q2" s="47">
        <v>12</v>
      </c>
      <c r="R2" s="47"/>
      <c r="S2" s="47"/>
      <c r="T2" s="121" t="s">
        <v>47</v>
      </c>
      <c r="U2" s="122"/>
      <c r="V2" s="123" t="s">
        <v>47</v>
      </c>
      <c r="W2" s="45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</row>
    <row r="3" spans="1:48" ht="13.5" customHeight="1">
      <c r="A3" s="115"/>
      <c r="B3" s="48" t="s">
        <v>48</v>
      </c>
      <c r="C3" s="48" t="s">
        <v>49</v>
      </c>
      <c r="D3" s="48" t="s">
        <v>50</v>
      </c>
      <c r="E3" s="48" t="s">
        <v>51</v>
      </c>
      <c r="F3" s="48" t="s">
        <v>52</v>
      </c>
      <c r="G3" s="48" t="s">
        <v>53</v>
      </c>
      <c r="H3" s="48" t="s">
        <v>54</v>
      </c>
      <c r="I3" s="48" t="s">
        <v>48</v>
      </c>
      <c r="J3" s="48" t="s">
        <v>49</v>
      </c>
      <c r="K3" s="48" t="s">
        <v>50</v>
      </c>
      <c r="L3" s="48" t="s">
        <v>51</v>
      </c>
      <c r="M3" s="48" t="s">
        <v>52</v>
      </c>
      <c r="N3" s="48" t="s">
        <v>53</v>
      </c>
      <c r="O3" s="48" t="s">
        <v>54</v>
      </c>
      <c r="P3" s="48" t="s">
        <v>48</v>
      </c>
      <c r="Q3" s="48" t="s">
        <v>49</v>
      </c>
      <c r="R3" s="48"/>
      <c r="S3" s="48"/>
      <c r="T3" s="115"/>
      <c r="U3" s="115"/>
      <c r="V3" s="115"/>
      <c r="W3" s="45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</row>
    <row r="4" spans="1:48" ht="12.75" customHeight="1">
      <c r="A4" s="49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50"/>
      <c r="U4" s="51"/>
      <c r="V4" s="51"/>
      <c r="W4" s="45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</row>
    <row r="5" spans="1:48" ht="12.75" customHeight="1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4"/>
      <c r="U5" s="55"/>
      <c r="V5" s="55"/>
      <c r="W5" s="45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</row>
    <row r="6" spans="1:48" ht="12.75" customHeight="1">
      <c r="A6" s="49" t="s">
        <v>39</v>
      </c>
      <c r="B6" s="47">
        <v>1</v>
      </c>
      <c r="C6" s="47"/>
      <c r="D6" s="47">
        <v>1</v>
      </c>
      <c r="E6" s="47">
        <v>1</v>
      </c>
      <c r="F6" s="47">
        <v>1</v>
      </c>
      <c r="G6" s="47"/>
      <c r="H6" s="47"/>
      <c r="I6" s="47"/>
      <c r="J6" s="47"/>
      <c r="K6" s="47">
        <v>1</v>
      </c>
      <c r="L6" s="47">
        <v>1</v>
      </c>
      <c r="M6" s="47">
        <v>1</v>
      </c>
      <c r="N6" s="47">
        <v>1</v>
      </c>
      <c r="O6" s="47">
        <v>1</v>
      </c>
      <c r="P6" s="47">
        <v>1</v>
      </c>
      <c r="Q6" s="47"/>
      <c r="R6" s="47"/>
      <c r="S6" s="47"/>
      <c r="T6" s="50">
        <f t="shared" ref="T4:T42" si="0">SUM(B6:S6)</f>
        <v>10</v>
      </c>
      <c r="U6" s="51"/>
      <c r="V6" s="51">
        <f t="shared" ref="V4:V42" si="1">T6+U6</f>
        <v>10</v>
      </c>
      <c r="W6" s="45"/>
      <c r="X6" s="46"/>
      <c r="Y6" s="5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</row>
    <row r="7" spans="1:48" ht="12.75" customHeight="1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4"/>
      <c r="U7" s="55"/>
      <c r="V7" s="55"/>
      <c r="W7" s="45"/>
      <c r="X7" s="46"/>
      <c r="Y7" s="5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</row>
    <row r="8" spans="1:48" ht="13.5" customHeight="1">
      <c r="A8" s="57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4"/>
      <c r="U8" s="55"/>
      <c r="V8" s="55"/>
      <c r="W8" s="45"/>
      <c r="X8" s="58"/>
      <c r="Y8" s="59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>
        <v>8</v>
      </c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</row>
    <row r="9" spans="1:48" ht="14.25" customHeight="1">
      <c r="A9" s="60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50"/>
      <c r="U9" s="61"/>
      <c r="V9" s="51"/>
      <c r="W9" s="45"/>
      <c r="X9" s="58"/>
      <c r="Y9" s="59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</row>
    <row r="10" spans="1:48" ht="13.5" customHeight="1">
      <c r="A10" s="49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50"/>
      <c r="U10" s="51"/>
      <c r="V10" s="51"/>
      <c r="W10" s="45"/>
      <c r="X10" s="58"/>
      <c r="Y10" s="59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</row>
    <row r="11" spans="1:48" ht="13.5" customHeight="1">
      <c r="A11" s="49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50"/>
      <c r="U11" s="51"/>
      <c r="V11" s="51"/>
      <c r="W11" s="45"/>
      <c r="X11" s="58"/>
      <c r="Y11" s="59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</row>
    <row r="12" spans="1:48" ht="13.5" customHeight="1">
      <c r="A12" s="62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50"/>
      <c r="U12" s="51"/>
      <c r="V12" s="51"/>
      <c r="W12" s="45"/>
      <c r="X12" s="58"/>
      <c r="Y12" s="59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</row>
    <row r="13" spans="1:48" ht="13.5" customHeight="1">
      <c r="A13" s="57" t="s">
        <v>41</v>
      </c>
      <c r="B13" s="53">
        <v>1</v>
      </c>
      <c r="C13" s="53"/>
      <c r="D13" s="53">
        <v>1</v>
      </c>
      <c r="E13" s="53">
        <v>1</v>
      </c>
      <c r="F13" s="53">
        <v>1</v>
      </c>
      <c r="G13" s="53"/>
      <c r="H13" s="53"/>
      <c r="I13" s="53"/>
      <c r="J13" s="53"/>
      <c r="K13" s="53">
        <v>1</v>
      </c>
      <c r="L13" s="53">
        <v>0.5</v>
      </c>
      <c r="M13" s="53">
        <v>1</v>
      </c>
      <c r="N13" s="53">
        <v>1</v>
      </c>
      <c r="O13" s="53">
        <v>1</v>
      </c>
      <c r="P13" s="63" t="s">
        <v>55</v>
      </c>
      <c r="Q13" s="63"/>
      <c r="R13" s="63"/>
      <c r="S13" s="53"/>
      <c r="T13" s="54">
        <f t="shared" si="0"/>
        <v>8.5</v>
      </c>
      <c r="U13" s="55"/>
      <c r="V13" s="55">
        <f t="shared" si="1"/>
        <v>8.5</v>
      </c>
      <c r="W13" s="45"/>
      <c r="X13" s="58"/>
      <c r="Y13" s="59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</row>
    <row r="14" spans="1:48" ht="13.5" customHeight="1">
      <c r="A14" s="64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50"/>
      <c r="U14" s="51"/>
      <c r="V14" s="51"/>
      <c r="W14" s="45"/>
      <c r="X14" s="58"/>
      <c r="Y14" s="59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</row>
    <row r="15" spans="1:48" ht="13.5" customHeight="1">
      <c r="A15" s="64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50"/>
      <c r="U15" s="51"/>
      <c r="V15" s="51"/>
      <c r="W15" s="45"/>
      <c r="X15" s="58"/>
      <c r="Y15" s="59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</row>
    <row r="16" spans="1:48" ht="13.5" customHeight="1">
      <c r="A16" s="64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50"/>
      <c r="U16" s="51"/>
      <c r="V16" s="51"/>
      <c r="W16" s="45"/>
      <c r="X16" s="58"/>
      <c r="Y16" s="59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</row>
    <row r="17" spans="1:48" ht="13.5" customHeight="1">
      <c r="A17" s="64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50"/>
      <c r="U17" s="51"/>
      <c r="V17" s="51"/>
      <c r="W17" s="45"/>
      <c r="X17" s="58"/>
      <c r="Y17" s="59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</row>
    <row r="18" spans="1:48" ht="13.5" customHeight="1">
      <c r="A18" s="64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50"/>
      <c r="U18" s="51"/>
      <c r="V18" s="51"/>
      <c r="W18" s="45"/>
      <c r="X18" s="58"/>
      <c r="Y18" s="59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</row>
    <row r="19" spans="1:48" ht="13.5" customHeight="1">
      <c r="A19" s="64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50"/>
      <c r="U19" s="51"/>
      <c r="V19" s="51"/>
      <c r="W19" s="45"/>
      <c r="X19" s="58"/>
      <c r="Y19" s="59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</row>
    <row r="20" spans="1:48" ht="13.5" customHeight="1">
      <c r="A20" s="64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50"/>
      <c r="U20" s="51"/>
      <c r="V20" s="51"/>
      <c r="W20" s="45"/>
      <c r="X20" s="58"/>
      <c r="Y20" s="59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</row>
    <row r="21" spans="1:48" ht="13.5" customHeight="1">
      <c r="A21" s="65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50"/>
      <c r="U21" s="51"/>
      <c r="V21" s="51"/>
      <c r="W21" s="45"/>
      <c r="X21" s="58"/>
      <c r="Y21" s="59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</row>
    <row r="22" spans="1:48" ht="13.5" customHeight="1">
      <c r="A22" s="65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50"/>
      <c r="U22" s="51"/>
      <c r="V22" s="51"/>
      <c r="W22" s="45"/>
      <c r="X22" s="58"/>
      <c r="Y22" s="59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</row>
    <row r="23" spans="1:48" ht="13.5" customHeight="1">
      <c r="A23" s="49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50"/>
      <c r="U23" s="51"/>
      <c r="V23" s="51"/>
      <c r="W23" s="45"/>
      <c r="X23" s="58"/>
      <c r="Y23" s="59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</row>
    <row r="24" spans="1:48" ht="13.5" customHeight="1">
      <c r="A24" s="49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50"/>
      <c r="U24" s="51"/>
      <c r="V24" s="51"/>
      <c r="W24" s="45"/>
      <c r="X24" s="58"/>
      <c r="Y24" s="59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</row>
    <row r="25" spans="1:48" ht="13.5" customHeight="1">
      <c r="A25" s="49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50"/>
      <c r="U25" s="51"/>
      <c r="V25" s="51"/>
      <c r="W25" s="45"/>
      <c r="X25" s="46"/>
      <c r="Y25" s="5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</row>
    <row r="26" spans="1:48" ht="13.5" customHeight="1">
      <c r="A26" s="49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50"/>
      <c r="U26" s="51"/>
      <c r="V26" s="51"/>
      <c r="W26" s="45"/>
      <c r="X26" s="46"/>
      <c r="Y26" s="59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</row>
    <row r="27" spans="1:48" ht="13.5" customHeight="1">
      <c r="A27" s="49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50"/>
      <c r="U27" s="51"/>
      <c r="V27" s="51"/>
      <c r="W27" s="45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</row>
    <row r="28" spans="1:48" ht="13.5" customHeight="1">
      <c r="A28" s="49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50"/>
      <c r="U28" s="51"/>
      <c r="V28" s="51"/>
      <c r="W28" s="45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</row>
    <row r="29" spans="1:48" ht="13.5" customHeight="1">
      <c r="A29" s="49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50"/>
      <c r="U29" s="51"/>
      <c r="V29" s="51"/>
      <c r="W29" s="45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</row>
    <row r="30" spans="1:48" ht="13.5" customHeight="1">
      <c r="A30" s="49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50"/>
      <c r="U30" s="51"/>
      <c r="V30" s="51"/>
      <c r="W30" s="45"/>
      <c r="X30" s="46"/>
      <c r="Y30" s="59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</row>
    <row r="31" spans="1:48" ht="13.5" customHeight="1">
      <c r="A31" s="49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50"/>
      <c r="U31" s="51"/>
      <c r="V31" s="51"/>
      <c r="W31" s="45"/>
      <c r="X31" s="46"/>
      <c r="Y31" s="59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</row>
    <row r="32" spans="1:48" ht="13.5" customHeight="1">
      <c r="A32" s="49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50"/>
      <c r="U32" s="51"/>
      <c r="V32" s="51"/>
      <c r="W32" s="45"/>
      <c r="X32" s="46"/>
      <c r="Y32" s="59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</row>
    <row r="33" spans="1:48" ht="13.5" customHeight="1">
      <c r="A33" s="49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50"/>
      <c r="U33" s="51"/>
      <c r="V33" s="51"/>
      <c r="W33" s="45"/>
      <c r="X33" s="46"/>
      <c r="Y33" s="59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</row>
    <row r="34" spans="1:48" ht="13.5" customHeight="1">
      <c r="A34" s="49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50"/>
      <c r="U34" s="51"/>
      <c r="V34" s="51"/>
      <c r="W34" s="45"/>
      <c r="X34" s="46"/>
      <c r="Y34" s="59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</row>
    <row r="35" spans="1:48" ht="13.5" customHeight="1">
      <c r="A35" s="49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50"/>
      <c r="U35" s="51"/>
      <c r="V35" s="51"/>
      <c r="W35" s="45"/>
      <c r="X35" s="46"/>
      <c r="Y35" s="59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</row>
    <row r="36" spans="1:48" ht="13.5" customHeight="1">
      <c r="A36" s="49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50"/>
      <c r="U36" s="51"/>
      <c r="V36" s="51"/>
      <c r="W36" s="45"/>
      <c r="X36" s="46"/>
      <c r="Y36" s="59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</row>
    <row r="37" spans="1:48" ht="13.5" customHeight="1">
      <c r="A37" s="49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50"/>
      <c r="U37" s="51"/>
      <c r="V37" s="51"/>
      <c r="W37" s="45"/>
      <c r="X37" s="46"/>
      <c r="Y37" s="59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</row>
    <row r="38" spans="1:48" ht="13.5" customHeight="1">
      <c r="A38" s="49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50"/>
      <c r="U38" s="51"/>
      <c r="V38" s="51"/>
      <c r="W38" s="45"/>
      <c r="X38" s="46"/>
      <c r="Y38" s="59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</row>
    <row r="39" spans="1:48" ht="13.5" customHeight="1">
      <c r="A39" s="49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50"/>
      <c r="U39" s="51"/>
      <c r="V39" s="51"/>
      <c r="W39" s="45"/>
      <c r="X39" s="46"/>
      <c r="Y39" s="59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</row>
    <row r="40" spans="1:48" ht="13.5" customHeight="1">
      <c r="A40" s="49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50"/>
      <c r="U40" s="51"/>
      <c r="V40" s="51"/>
      <c r="W40" s="45"/>
      <c r="X40" s="46"/>
      <c r="Y40" s="59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</row>
    <row r="41" spans="1:48" ht="13.5" customHeight="1">
      <c r="A41" s="49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50"/>
      <c r="U41" s="51"/>
      <c r="V41" s="51"/>
      <c r="W41" s="45"/>
      <c r="X41" s="46"/>
      <c r="Y41" s="59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</row>
    <row r="42" spans="1:48" ht="13.5" customHeight="1">
      <c r="A42" s="49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50"/>
      <c r="U42" s="51"/>
      <c r="V42" s="51"/>
      <c r="W42" s="45"/>
      <c r="X42" s="46"/>
      <c r="Y42" s="59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</row>
    <row r="43" spans="1:48" ht="12.75" customHeight="1">
      <c r="A43" s="45"/>
      <c r="B43" s="118" t="s">
        <v>56</v>
      </c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43"/>
      <c r="V43" s="44"/>
      <c r="W43" s="45"/>
      <c r="X43" s="46"/>
      <c r="Y43" s="59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</row>
    <row r="44" spans="1:48" ht="13.5" customHeight="1">
      <c r="A44" s="120" t="s">
        <v>46</v>
      </c>
      <c r="B44" s="47">
        <f t="shared" ref="B44:R44" si="2">B2</f>
        <v>28</v>
      </c>
      <c r="C44" s="47">
        <f t="shared" si="2"/>
        <v>29</v>
      </c>
      <c r="D44" s="47">
        <f t="shared" si="2"/>
        <v>30</v>
      </c>
      <c r="E44" s="47">
        <f t="shared" si="2"/>
        <v>31</v>
      </c>
      <c r="F44" s="47">
        <f t="shared" si="2"/>
        <v>1</v>
      </c>
      <c r="G44" s="47">
        <f t="shared" si="2"/>
        <v>2</v>
      </c>
      <c r="H44" s="47">
        <f t="shared" si="2"/>
        <v>3</v>
      </c>
      <c r="I44" s="47">
        <f t="shared" si="2"/>
        <v>4</v>
      </c>
      <c r="J44" s="47">
        <f t="shared" si="2"/>
        <v>5</v>
      </c>
      <c r="K44" s="47">
        <f t="shared" si="2"/>
        <v>6</v>
      </c>
      <c r="L44" s="47">
        <f t="shared" si="2"/>
        <v>7</v>
      </c>
      <c r="M44" s="47">
        <f t="shared" si="2"/>
        <v>8</v>
      </c>
      <c r="N44" s="47">
        <f t="shared" si="2"/>
        <v>9</v>
      </c>
      <c r="O44" s="47">
        <f t="shared" si="2"/>
        <v>10</v>
      </c>
      <c r="P44" s="47">
        <f t="shared" si="2"/>
        <v>11</v>
      </c>
      <c r="Q44" s="47">
        <f t="shared" si="2"/>
        <v>12</v>
      </c>
      <c r="R44" s="47">
        <f t="shared" si="2"/>
        <v>0</v>
      </c>
      <c r="S44" s="47"/>
      <c r="T44" s="121" t="s">
        <v>57</v>
      </c>
      <c r="U44" s="124"/>
      <c r="V44" s="123" t="s">
        <v>47</v>
      </c>
      <c r="W44" s="45"/>
      <c r="X44" s="45"/>
      <c r="Y44" s="59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6"/>
    </row>
    <row r="45" spans="1:48" ht="13.5" customHeight="1">
      <c r="A45" s="115"/>
      <c r="B45" s="66" t="str">
        <f t="shared" ref="B45:R45" si="3">B3</f>
        <v>Sat</v>
      </c>
      <c r="C45" s="66" t="str">
        <f t="shared" si="3"/>
        <v>Sun</v>
      </c>
      <c r="D45" s="66" t="str">
        <f t="shared" si="3"/>
        <v>Mon</v>
      </c>
      <c r="E45" s="66" t="str">
        <f t="shared" si="3"/>
        <v>Tue</v>
      </c>
      <c r="F45" s="66" t="str">
        <f t="shared" si="3"/>
        <v>Wed</v>
      </c>
      <c r="G45" s="66" t="str">
        <f t="shared" si="3"/>
        <v>Thu</v>
      </c>
      <c r="H45" s="66" t="str">
        <f t="shared" si="3"/>
        <v>Fri</v>
      </c>
      <c r="I45" s="66" t="str">
        <f t="shared" si="3"/>
        <v>Sat</v>
      </c>
      <c r="J45" s="66" t="str">
        <f t="shared" si="3"/>
        <v>Sun</v>
      </c>
      <c r="K45" s="66" t="str">
        <f t="shared" si="3"/>
        <v>Mon</v>
      </c>
      <c r="L45" s="66" t="str">
        <f t="shared" si="3"/>
        <v>Tue</v>
      </c>
      <c r="M45" s="66" t="str">
        <f t="shared" si="3"/>
        <v>Wed</v>
      </c>
      <c r="N45" s="66" t="str">
        <f t="shared" si="3"/>
        <v>Thu</v>
      </c>
      <c r="O45" s="66" t="str">
        <f t="shared" si="3"/>
        <v>Fri</v>
      </c>
      <c r="P45" s="66" t="str">
        <f t="shared" si="3"/>
        <v>Sat</v>
      </c>
      <c r="Q45" s="66" t="str">
        <f t="shared" si="3"/>
        <v>Sun</v>
      </c>
      <c r="R45" s="48">
        <f t="shared" si="3"/>
        <v>0</v>
      </c>
      <c r="S45" s="67"/>
      <c r="T45" s="115"/>
      <c r="U45" s="115"/>
      <c r="V45" s="115"/>
      <c r="W45" s="45"/>
      <c r="X45" s="45"/>
      <c r="Y45" s="59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6"/>
    </row>
    <row r="46" spans="1:48" ht="13.5" customHeight="1">
      <c r="A46" s="68"/>
      <c r="B46" s="69"/>
      <c r="C46" s="69"/>
      <c r="D46" s="69"/>
      <c r="E46" s="69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1"/>
      <c r="U46" s="72"/>
      <c r="V46" s="51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6"/>
    </row>
    <row r="47" spans="1:48" ht="13.5" customHeight="1">
      <c r="A47" s="68"/>
      <c r="B47" s="73"/>
      <c r="C47" s="73"/>
      <c r="D47" s="73"/>
      <c r="E47" s="73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1"/>
      <c r="U47" s="74"/>
      <c r="V47" s="51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6"/>
    </row>
    <row r="48" spans="1:48" ht="13.5" customHeight="1">
      <c r="A48" s="68" t="s">
        <v>39</v>
      </c>
      <c r="B48" s="73"/>
      <c r="C48" s="73"/>
      <c r="D48" s="73"/>
      <c r="E48" s="73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1">
        <f t="shared" ref="T46:T84" si="4">SUM(B48:S48)</f>
        <v>0</v>
      </c>
      <c r="U48" s="72"/>
      <c r="V48" s="51">
        <f t="shared" ref="V46:V84" si="5">T48+U48</f>
        <v>0</v>
      </c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6"/>
    </row>
    <row r="49" spans="1:48" ht="13.5" customHeight="1">
      <c r="A49" s="68"/>
      <c r="B49" s="75"/>
      <c r="C49" s="75"/>
      <c r="D49" s="75"/>
      <c r="E49" s="75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1"/>
      <c r="U49" s="72"/>
      <c r="V49" s="51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6"/>
    </row>
    <row r="50" spans="1:48" ht="13.5" customHeight="1">
      <c r="A50" s="64"/>
      <c r="B50" s="73"/>
      <c r="C50" s="73"/>
      <c r="D50" s="73"/>
      <c r="E50" s="73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1"/>
      <c r="U50" s="72"/>
      <c r="V50" s="51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6"/>
    </row>
    <row r="51" spans="1:48" ht="13.5" customHeight="1">
      <c r="A51" s="64"/>
      <c r="B51" s="73"/>
      <c r="C51" s="73"/>
      <c r="D51" s="73"/>
      <c r="E51" s="73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1"/>
      <c r="U51" s="72"/>
      <c r="V51" s="51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6"/>
    </row>
    <row r="52" spans="1:48" ht="13.5" customHeight="1">
      <c r="A52" s="68"/>
      <c r="B52" s="73"/>
      <c r="C52" s="73"/>
      <c r="D52" s="73"/>
      <c r="E52" s="73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1"/>
      <c r="U52" s="72"/>
      <c r="V52" s="51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6"/>
    </row>
    <row r="53" spans="1:48" ht="13.5" customHeight="1">
      <c r="A53" s="68"/>
      <c r="B53" s="75"/>
      <c r="C53" s="75"/>
      <c r="D53" s="75"/>
      <c r="E53" s="75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6"/>
      <c r="R53" s="76"/>
      <c r="S53" s="70"/>
      <c r="T53" s="71"/>
      <c r="U53" s="72"/>
      <c r="V53" s="51"/>
      <c r="W53" s="45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</row>
    <row r="54" spans="1:48" ht="13.5" customHeight="1">
      <c r="A54" s="62"/>
      <c r="B54" s="75"/>
      <c r="C54" s="75"/>
      <c r="D54" s="75"/>
      <c r="E54" s="75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1"/>
      <c r="U54" s="72"/>
      <c r="V54" s="51"/>
      <c r="W54" s="45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</row>
    <row r="55" spans="1:48" ht="13.5" customHeight="1">
      <c r="A55" s="64" t="s">
        <v>41</v>
      </c>
      <c r="B55" s="73"/>
      <c r="C55" s="73"/>
      <c r="D55" s="73"/>
      <c r="E55" s="73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1">
        <f t="shared" si="4"/>
        <v>0</v>
      </c>
      <c r="U55" s="72"/>
      <c r="V55" s="51">
        <f t="shared" si="5"/>
        <v>0</v>
      </c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</row>
    <row r="56" spans="1:48" ht="13.5" customHeight="1">
      <c r="A56" s="64"/>
      <c r="B56" s="75"/>
      <c r="C56" s="75"/>
      <c r="D56" s="75"/>
      <c r="E56" s="75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1"/>
      <c r="U56" s="72"/>
      <c r="V56" s="51"/>
      <c r="W56" s="45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</row>
    <row r="57" spans="1:48" ht="13.5" customHeight="1">
      <c r="A57" s="64"/>
      <c r="B57" s="75"/>
      <c r="C57" s="75"/>
      <c r="D57" s="75"/>
      <c r="E57" s="75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1"/>
      <c r="U57" s="72"/>
      <c r="V57" s="51"/>
      <c r="W57" s="45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</row>
    <row r="58" spans="1:48" ht="13.5" customHeight="1">
      <c r="A58" s="64"/>
      <c r="B58" s="75"/>
      <c r="C58" s="75"/>
      <c r="D58" s="75"/>
      <c r="E58" s="75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1"/>
      <c r="U58" s="72"/>
      <c r="V58" s="51"/>
      <c r="W58" s="45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</row>
    <row r="59" spans="1:48" ht="13.5" customHeight="1">
      <c r="A59" s="64"/>
      <c r="B59" s="73"/>
      <c r="C59" s="73"/>
      <c r="D59" s="73"/>
      <c r="E59" s="73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1"/>
      <c r="U59" s="72"/>
      <c r="V59" s="51"/>
      <c r="W59" s="45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</row>
    <row r="60" spans="1:48" ht="13.5" customHeight="1">
      <c r="A60" s="64"/>
      <c r="B60" s="75"/>
      <c r="C60" s="75"/>
      <c r="D60" s="75"/>
      <c r="E60" s="75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1"/>
      <c r="U60" s="72"/>
      <c r="V60" s="51"/>
      <c r="W60" s="45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</row>
    <row r="61" spans="1:48" ht="13.5" customHeight="1">
      <c r="A61" s="64"/>
      <c r="B61" s="73"/>
      <c r="C61" s="73"/>
      <c r="D61" s="73"/>
      <c r="E61" s="73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1"/>
      <c r="U61" s="72"/>
      <c r="V61" s="51"/>
      <c r="W61" s="45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</row>
    <row r="62" spans="1:48" ht="13.5" customHeight="1">
      <c r="A62" s="64"/>
      <c r="B62" s="73"/>
      <c r="C62" s="73"/>
      <c r="D62" s="73"/>
      <c r="E62" s="73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1"/>
      <c r="U62" s="72"/>
      <c r="V62" s="51"/>
      <c r="W62" s="45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</row>
    <row r="63" spans="1:48" ht="13.5" customHeight="1">
      <c r="A63" s="60"/>
      <c r="B63" s="77"/>
      <c r="C63" s="77"/>
      <c r="D63" s="77"/>
      <c r="E63" s="77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1"/>
      <c r="U63" s="72"/>
      <c r="V63" s="51"/>
      <c r="W63" s="45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</row>
    <row r="64" spans="1:48" ht="13.5" customHeight="1">
      <c r="A64" s="60"/>
      <c r="B64" s="77"/>
      <c r="C64" s="77"/>
      <c r="D64" s="77"/>
      <c r="E64" s="77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1"/>
      <c r="U64" s="72"/>
      <c r="V64" s="51"/>
      <c r="W64" s="45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</row>
    <row r="65" spans="1:48" ht="13.5" customHeight="1">
      <c r="A65" s="60"/>
      <c r="B65" s="76"/>
      <c r="C65" s="76"/>
      <c r="D65" s="76"/>
      <c r="E65" s="76"/>
      <c r="F65" s="76"/>
      <c r="G65" s="76"/>
      <c r="H65" s="76"/>
      <c r="I65" s="76"/>
      <c r="J65" s="70"/>
      <c r="K65" s="76"/>
      <c r="L65" s="76"/>
      <c r="M65" s="76"/>
      <c r="N65" s="76"/>
      <c r="O65" s="76"/>
      <c r="P65" s="76"/>
      <c r="Q65" s="76"/>
      <c r="R65" s="76"/>
      <c r="S65" s="76"/>
      <c r="T65" s="71"/>
      <c r="U65" s="72"/>
      <c r="V65" s="51"/>
      <c r="W65" s="45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</row>
    <row r="66" spans="1:48" ht="13.5" customHeight="1">
      <c r="A66" s="60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1"/>
      <c r="U66" s="72"/>
      <c r="V66" s="51"/>
      <c r="W66" s="45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</row>
    <row r="67" spans="1:48" ht="13.5" customHeight="1">
      <c r="A67" s="60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1"/>
      <c r="U67" s="72"/>
      <c r="V67" s="51"/>
      <c r="W67" s="45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</row>
    <row r="68" spans="1:48" ht="13.5" customHeight="1">
      <c r="A68" s="60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1"/>
      <c r="U68" s="72"/>
      <c r="V68" s="51"/>
      <c r="W68" s="45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</row>
    <row r="69" spans="1:48" ht="13.5" customHeight="1">
      <c r="A69" s="60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1"/>
      <c r="U69" s="72"/>
      <c r="V69" s="51"/>
      <c r="W69" s="45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</row>
    <row r="70" spans="1:48" ht="13.5" customHeight="1">
      <c r="A70" s="60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1"/>
      <c r="U70" s="72"/>
      <c r="V70" s="51"/>
      <c r="W70" s="45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</row>
    <row r="71" spans="1:48" ht="13.5" customHeight="1">
      <c r="A71" s="60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1"/>
      <c r="U71" s="72"/>
      <c r="V71" s="51"/>
      <c r="W71" s="45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</row>
    <row r="72" spans="1:48" ht="13.5" customHeight="1">
      <c r="A72" s="60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1"/>
      <c r="U72" s="72"/>
      <c r="V72" s="51"/>
      <c r="W72" s="45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</row>
    <row r="73" spans="1:48" ht="13.5" customHeight="1">
      <c r="A73" s="60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1"/>
      <c r="U73" s="72"/>
      <c r="V73" s="51"/>
      <c r="W73" s="45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</row>
    <row r="74" spans="1:48" ht="13.5" customHeight="1">
      <c r="A74" s="60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1"/>
      <c r="U74" s="72"/>
      <c r="V74" s="51"/>
      <c r="W74" s="45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</row>
    <row r="75" spans="1:48" ht="13.5" customHeight="1">
      <c r="A75" s="60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1"/>
      <c r="U75" s="72"/>
      <c r="V75" s="51"/>
      <c r="W75" s="45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</row>
    <row r="76" spans="1:48" ht="13.5" customHeight="1">
      <c r="A76" s="60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1"/>
      <c r="U76" s="72"/>
      <c r="V76" s="51"/>
      <c r="W76" s="45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</row>
    <row r="77" spans="1:48" ht="13.5" customHeight="1">
      <c r="A77" s="60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1"/>
      <c r="U77" s="72"/>
      <c r="V77" s="51"/>
      <c r="W77" s="45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</row>
    <row r="78" spans="1:48" ht="13.5" customHeight="1">
      <c r="A78" s="60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1"/>
      <c r="U78" s="72"/>
      <c r="V78" s="51"/>
      <c r="W78" s="45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</row>
    <row r="79" spans="1:48" ht="13.5" customHeight="1">
      <c r="A79" s="60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1"/>
      <c r="U79" s="72"/>
      <c r="V79" s="51"/>
      <c r="W79" s="45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</row>
    <row r="80" spans="1:48" ht="13.5" customHeight="1">
      <c r="A80" s="60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1"/>
      <c r="U80" s="72"/>
      <c r="V80" s="51"/>
      <c r="W80" s="45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</row>
    <row r="81" spans="1:48" ht="13.5" customHeight="1">
      <c r="A81" s="60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1"/>
      <c r="U81" s="72"/>
      <c r="V81" s="51"/>
      <c r="W81" s="45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</row>
    <row r="82" spans="1:48" ht="13.5" customHeight="1">
      <c r="A82" s="60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1"/>
      <c r="U82" s="72"/>
      <c r="V82" s="51"/>
      <c r="W82" s="45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</row>
    <row r="83" spans="1:48" ht="13.5" customHeight="1">
      <c r="A83" s="60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1"/>
      <c r="U83" s="72"/>
      <c r="V83" s="51"/>
      <c r="W83" s="45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</row>
    <row r="84" spans="1:48" ht="13.5" customHeight="1">
      <c r="A84" s="60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1"/>
      <c r="U84" s="72"/>
      <c r="V84" s="51"/>
      <c r="W84" s="45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</row>
    <row r="85" spans="1:48" ht="13.5" customHeight="1">
      <c r="A85" s="45"/>
      <c r="B85" s="118" t="s">
        <v>58</v>
      </c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43"/>
      <c r="V85" s="43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6"/>
    </row>
    <row r="86" spans="1:48" ht="13.5" customHeight="1">
      <c r="A86" s="120" t="s">
        <v>46</v>
      </c>
      <c r="B86" s="47">
        <f t="shared" ref="B86:R86" si="6">B2</f>
        <v>28</v>
      </c>
      <c r="C86" s="47">
        <f t="shared" si="6"/>
        <v>29</v>
      </c>
      <c r="D86" s="47">
        <f t="shared" si="6"/>
        <v>30</v>
      </c>
      <c r="E86" s="47">
        <f t="shared" si="6"/>
        <v>31</v>
      </c>
      <c r="F86" s="47">
        <f t="shared" si="6"/>
        <v>1</v>
      </c>
      <c r="G86" s="47">
        <f t="shared" si="6"/>
        <v>2</v>
      </c>
      <c r="H86" s="47">
        <f t="shared" si="6"/>
        <v>3</v>
      </c>
      <c r="I86" s="47">
        <f t="shared" si="6"/>
        <v>4</v>
      </c>
      <c r="J86" s="47">
        <f t="shared" si="6"/>
        <v>5</v>
      </c>
      <c r="K86" s="47">
        <f t="shared" si="6"/>
        <v>6</v>
      </c>
      <c r="L86" s="47">
        <f t="shared" si="6"/>
        <v>7</v>
      </c>
      <c r="M86" s="47">
        <f t="shared" si="6"/>
        <v>8</v>
      </c>
      <c r="N86" s="47">
        <f t="shared" si="6"/>
        <v>9</v>
      </c>
      <c r="O86" s="47">
        <f t="shared" si="6"/>
        <v>10</v>
      </c>
      <c r="P86" s="47">
        <f t="shared" si="6"/>
        <v>11</v>
      </c>
      <c r="Q86" s="47">
        <f t="shared" si="6"/>
        <v>12</v>
      </c>
      <c r="R86" s="47">
        <f t="shared" si="6"/>
        <v>0</v>
      </c>
      <c r="S86" s="47"/>
      <c r="T86" s="121" t="s">
        <v>57</v>
      </c>
      <c r="U86" s="123" t="s">
        <v>59</v>
      </c>
      <c r="V86" s="123" t="s">
        <v>47</v>
      </c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6"/>
    </row>
    <row r="87" spans="1:48" ht="13.5" customHeight="1">
      <c r="A87" s="115"/>
      <c r="B87" s="66" t="str">
        <f t="shared" ref="B87:R87" si="7">B3</f>
        <v>Sat</v>
      </c>
      <c r="C87" s="66" t="str">
        <f t="shared" si="7"/>
        <v>Sun</v>
      </c>
      <c r="D87" s="66" t="str">
        <f t="shared" si="7"/>
        <v>Mon</v>
      </c>
      <c r="E87" s="66" t="str">
        <f t="shared" si="7"/>
        <v>Tue</v>
      </c>
      <c r="F87" s="66" t="str">
        <f t="shared" si="7"/>
        <v>Wed</v>
      </c>
      <c r="G87" s="66" t="str">
        <f t="shared" si="7"/>
        <v>Thu</v>
      </c>
      <c r="H87" s="66" t="str">
        <f t="shared" si="7"/>
        <v>Fri</v>
      </c>
      <c r="I87" s="66" t="str">
        <f t="shared" si="7"/>
        <v>Sat</v>
      </c>
      <c r="J87" s="66" t="str">
        <f t="shared" si="7"/>
        <v>Sun</v>
      </c>
      <c r="K87" s="66" t="str">
        <f t="shared" si="7"/>
        <v>Mon</v>
      </c>
      <c r="L87" s="66" t="str">
        <f t="shared" si="7"/>
        <v>Tue</v>
      </c>
      <c r="M87" s="66" t="str">
        <f t="shared" si="7"/>
        <v>Wed</v>
      </c>
      <c r="N87" s="66" t="str">
        <f t="shared" si="7"/>
        <v>Thu</v>
      </c>
      <c r="O87" s="66" t="str">
        <f t="shared" si="7"/>
        <v>Fri</v>
      </c>
      <c r="P87" s="66" t="str">
        <f t="shared" si="7"/>
        <v>Sat</v>
      </c>
      <c r="Q87" s="66" t="str">
        <f t="shared" si="7"/>
        <v>Sun</v>
      </c>
      <c r="R87" s="66">
        <f t="shared" si="7"/>
        <v>0</v>
      </c>
      <c r="S87" s="67"/>
      <c r="T87" s="115"/>
      <c r="U87" s="115"/>
      <c r="V87" s="11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6"/>
    </row>
    <row r="88" spans="1:48" ht="13.5" customHeight="1">
      <c r="A88" s="49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78"/>
      <c r="N88" s="47"/>
      <c r="O88" s="79"/>
      <c r="P88" s="47"/>
      <c r="Q88" s="47"/>
      <c r="R88" s="47"/>
      <c r="S88" s="47"/>
      <c r="T88" s="50"/>
      <c r="U88" s="51"/>
      <c r="V88" s="51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6"/>
    </row>
    <row r="89" spans="1:48" ht="13.5" customHeight="1">
      <c r="A89" s="49"/>
      <c r="B89" s="47"/>
      <c r="C89" s="47"/>
      <c r="D89" s="47"/>
      <c r="E89" s="47"/>
      <c r="F89" s="47"/>
      <c r="G89" s="47"/>
      <c r="H89" s="47"/>
      <c r="I89" s="47"/>
      <c r="J89" s="47"/>
      <c r="K89" s="70"/>
      <c r="L89" s="47"/>
      <c r="M89" s="78"/>
      <c r="N89" s="47"/>
      <c r="O89" s="79"/>
      <c r="P89" s="47"/>
      <c r="Q89" s="47"/>
      <c r="R89" s="47"/>
      <c r="S89" s="47"/>
      <c r="T89" s="50"/>
      <c r="U89" s="51"/>
      <c r="V89" s="51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6"/>
    </row>
    <row r="90" spans="1:48" ht="13.5" customHeight="1">
      <c r="A90" s="49" t="s">
        <v>39</v>
      </c>
      <c r="B90" s="47"/>
      <c r="C90" s="47"/>
      <c r="D90" s="47"/>
      <c r="E90" s="47"/>
      <c r="F90" s="47"/>
      <c r="G90" s="47"/>
      <c r="H90" s="47"/>
      <c r="I90" s="47"/>
      <c r="J90" s="47"/>
      <c r="K90" s="70"/>
      <c r="L90" s="47"/>
      <c r="M90" s="78"/>
      <c r="N90" s="47"/>
      <c r="O90" s="79"/>
      <c r="P90" s="47"/>
      <c r="Q90" s="47"/>
      <c r="R90" s="47"/>
      <c r="S90" s="47"/>
      <c r="T90" s="50">
        <f t="shared" ref="T88:T126" si="8">SUM(B90:S90)</f>
        <v>0</v>
      </c>
      <c r="U90" s="51"/>
      <c r="V90" s="51">
        <f t="shared" ref="V88:V126" si="9">T90+U90</f>
        <v>0</v>
      </c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6"/>
    </row>
    <row r="91" spans="1:48" ht="13.5" customHeight="1">
      <c r="A91" s="49"/>
      <c r="B91" s="47"/>
      <c r="C91" s="47"/>
      <c r="D91" s="47"/>
      <c r="E91" s="47"/>
      <c r="F91" s="47"/>
      <c r="G91" s="47"/>
      <c r="H91" s="47"/>
      <c r="I91" s="47"/>
      <c r="J91" s="47"/>
      <c r="K91" s="70"/>
      <c r="L91" s="47"/>
      <c r="M91" s="78"/>
      <c r="N91" s="47"/>
      <c r="O91" s="79"/>
      <c r="P91" s="47"/>
      <c r="Q91" s="47"/>
      <c r="R91" s="47"/>
      <c r="S91" s="47"/>
      <c r="T91" s="50"/>
      <c r="U91" s="51"/>
      <c r="V91" s="51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6"/>
    </row>
    <row r="92" spans="1:48" ht="13.5" customHeight="1">
      <c r="A92" s="60"/>
      <c r="B92" s="47"/>
      <c r="C92" s="47"/>
      <c r="D92" s="47"/>
      <c r="E92" s="47"/>
      <c r="F92" s="47"/>
      <c r="G92" s="47"/>
      <c r="H92" s="47"/>
      <c r="I92" s="47"/>
      <c r="J92" s="47"/>
      <c r="K92" s="70"/>
      <c r="L92" s="47"/>
      <c r="M92" s="78"/>
      <c r="N92" s="47"/>
      <c r="O92" s="79"/>
      <c r="P92" s="47"/>
      <c r="Q92" s="47"/>
      <c r="R92" s="47"/>
      <c r="S92" s="47"/>
      <c r="T92" s="50"/>
      <c r="U92" s="51"/>
      <c r="V92" s="51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6"/>
    </row>
    <row r="93" spans="1:48" ht="13.5" customHeight="1">
      <c r="A93" s="60"/>
      <c r="B93" s="47"/>
      <c r="C93" s="47"/>
      <c r="D93" s="47"/>
      <c r="E93" s="47"/>
      <c r="F93" s="47"/>
      <c r="G93" s="47"/>
      <c r="H93" s="47"/>
      <c r="I93" s="47"/>
      <c r="J93" s="47"/>
      <c r="K93" s="70"/>
      <c r="L93" s="47"/>
      <c r="M93" s="78"/>
      <c r="N93" s="47"/>
      <c r="O93" s="79"/>
      <c r="P93" s="47"/>
      <c r="Q93" s="47"/>
      <c r="R93" s="47"/>
      <c r="S93" s="47"/>
      <c r="T93" s="50"/>
      <c r="U93" s="51"/>
      <c r="V93" s="51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6"/>
    </row>
    <row r="94" spans="1:48" ht="13.5" customHeight="1">
      <c r="A94" s="49"/>
      <c r="B94" s="47"/>
      <c r="C94" s="47"/>
      <c r="D94" s="47"/>
      <c r="E94" s="47"/>
      <c r="F94" s="47"/>
      <c r="G94" s="47"/>
      <c r="H94" s="47"/>
      <c r="I94" s="47"/>
      <c r="J94" s="47"/>
      <c r="K94" s="70"/>
      <c r="L94" s="47"/>
      <c r="M94" s="78"/>
      <c r="N94" s="47"/>
      <c r="O94" s="79"/>
      <c r="P94" s="47"/>
      <c r="Q94" s="47"/>
      <c r="R94" s="47"/>
      <c r="S94" s="47"/>
      <c r="T94" s="50"/>
      <c r="U94" s="51"/>
      <c r="V94" s="51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6"/>
    </row>
    <row r="95" spans="1:48" ht="13.5" customHeight="1">
      <c r="A95" s="49"/>
      <c r="B95" s="47"/>
      <c r="C95" s="47"/>
      <c r="D95" s="47"/>
      <c r="E95" s="47"/>
      <c r="F95" s="47"/>
      <c r="G95" s="47"/>
      <c r="H95" s="47"/>
      <c r="I95" s="47"/>
      <c r="J95" s="47"/>
      <c r="K95" s="70"/>
      <c r="L95" s="47"/>
      <c r="M95" s="78"/>
      <c r="N95" s="47"/>
      <c r="O95" s="79"/>
      <c r="P95" s="47"/>
      <c r="Q95" s="47"/>
      <c r="R95" s="47"/>
      <c r="S95" s="47"/>
      <c r="T95" s="50"/>
      <c r="U95" s="51"/>
      <c r="V95" s="51"/>
      <c r="W95" s="45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</row>
    <row r="96" spans="1:48" ht="13.5" customHeight="1">
      <c r="A96" s="62"/>
      <c r="B96" s="80"/>
      <c r="C96" s="80"/>
      <c r="D96" s="47"/>
      <c r="E96" s="47"/>
      <c r="F96" s="47"/>
      <c r="G96" s="47"/>
      <c r="H96" s="47"/>
      <c r="I96" s="47"/>
      <c r="J96" s="47"/>
      <c r="K96" s="70"/>
      <c r="L96" s="47"/>
      <c r="M96" s="78"/>
      <c r="N96" s="47"/>
      <c r="O96" s="79"/>
      <c r="P96" s="47"/>
      <c r="Q96" s="47"/>
      <c r="R96" s="47"/>
      <c r="S96" s="47"/>
      <c r="T96" s="50"/>
      <c r="U96" s="51"/>
      <c r="V96" s="51"/>
      <c r="W96" s="45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</row>
    <row r="97" spans="1:48" ht="13.5" customHeight="1">
      <c r="A97" s="64" t="s">
        <v>41</v>
      </c>
      <c r="B97" s="47"/>
      <c r="C97" s="47"/>
      <c r="D97" s="47"/>
      <c r="E97" s="47"/>
      <c r="F97" s="47"/>
      <c r="G97" s="47"/>
      <c r="H97" s="47"/>
      <c r="I97" s="47"/>
      <c r="J97" s="47"/>
      <c r="K97" s="70"/>
      <c r="L97" s="47"/>
      <c r="M97" s="78"/>
      <c r="N97" s="47"/>
      <c r="O97" s="79"/>
      <c r="P97" s="47"/>
      <c r="Q97" s="47"/>
      <c r="R97" s="47"/>
      <c r="S97" s="47"/>
      <c r="T97" s="50">
        <f t="shared" si="8"/>
        <v>0</v>
      </c>
      <c r="U97" s="51"/>
      <c r="V97" s="51">
        <f t="shared" si="9"/>
        <v>0</v>
      </c>
      <c r="W97" s="45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</row>
    <row r="98" spans="1:48" ht="13.5" customHeight="1">
      <c r="A98" s="64"/>
      <c r="B98" s="47"/>
      <c r="C98" s="47"/>
      <c r="D98" s="47"/>
      <c r="E98" s="47"/>
      <c r="F98" s="47"/>
      <c r="G98" s="47"/>
      <c r="H98" s="47"/>
      <c r="I98" s="47"/>
      <c r="J98" s="47"/>
      <c r="K98" s="70"/>
      <c r="L98" s="47"/>
      <c r="M98" s="78"/>
      <c r="N98" s="47"/>
      <c r="O98" s="79"/>
      <c r="P98" s="47"/>
      <c r="Q98" s="47"/>
      <c r="R98" s="47"/>
      <c r="S98" s="47"/>
      <c r="T98" s="50"/>
      <c r="U98" s="51"/>
      <c r="V98" s="51"/>
      <c r="W98" s="45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</row>
    <row r="99" spans="1:48" ht="13.5" customHeight="1">
      <c r="A99" s="64"/>
      <c r="B99" s="47"/>
      <c r="C99" s="47"/>
      <c r="D99" s="47"/>
      <c r="E99" s="47"/>
      <c r="F99" s="47"/>
      <c r="G99" s="47"/>
      <c r="H99" s="47"/>
      <c r="I99" s="47"/>
      <c r="J99" s="47"/>
      <c r="K99" s="70"/>
      <c r="L99" s="47"/>
      <c r="M99" s="78"/>
      <c r="N99" s="47"/>
      <c r="O99" s="79"/>
      <c r="P99" s="47"/>
      <c r="Q99" s="47"/>
      <c r="R99" s="47"/>
      <c r="S99" s="47"/>
      <c r="T99" s="50"/>
      <c r="U99" s="51"/>
      <c r="V99" s="51"/>
      <c r="W99" s="45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</row>
    <row r="100" spans="1:48" ht="13.5" customHeight="1">
      <c r="A100" s="64"/>
      <c r="B100" s="47"/>
      <c r="C100" s="47"/>
      <c r="D100" s="47"/>
      <c r="E100" s="47"/>
      <c r="F100" s="47"/>
      <c r="G100" s="47"/>
      <c r="H100" s="47"/>
      <c r="I100" s="47"/>
      <c r="J100" s="47"/>
      <c r="K100" s="70"/>
      <c r="L100" s="47"/>
      <c r="M100" s="78"/>
      <c r="N100" s="47"/>
      <c r="O100" s="79"/>
      <c r="P100" s="47"/>
      <c r="Q100" s="47"/>
      <c r="R100" s="47"/>
      <c r="S100" s="47"/>
      <c r="T100" s="50"/>
      <c r="U100" s="51"/>
      <c r="V100" s="51"/>
      <c r="W100" s="45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</row>
    <row r="101" spans="1:48" ht="13.5" customHeight="1">
      <c r="A101" s="64"/>
      <c r="B101" s="47"/>
      <c r="C101" s="47"/>
      <c r="D101" s="47"/>
      <c r="E101" s="47"/>
      <c r="F101" s="47"/>
      <c r="G101" s="47"/>
      <c r="H101" s="47"/>
      <c r="I101" s="47"/>
      <c r="J101" s="47"/>
      <c r="K101" s="70"/>
      <c r="L101" s="47"/>
      <c r="M101" s="78"/>
      <c r="N101" s="47"/>
      <c r="O101" s="79"/>
      <c r="P101" s="47"/>
      <c r="Q101" s="47"/>
      <c r="R101" s="47"/>
      <c r="S101" s="47"/>
      <c r="T101" s="50"/>
      <c r="U101" s="51"/>
      <c r="V101" s="51"/>
      <c r="W101" s="45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</row>
    <row r="102" spans="1:48" ht="13.5" customHeight="1">
      <c r="A102" s="64"/>
      <c r="B102" s="47"/>
      <c r="C102" s="47"/>
      <c r="D102" s="47"/>
      <c r="E102" s="47"/>
      <c r="F102" s="47"/>
      <c r="G102" s="47"/>
      <c r="H102" s="47"/>
      <c r="I102" s="47"/>
      <c r="J102" s="47"/>
      <c r="K102" s="70"/>
      <c r="L102" s="47"/>
      <c r="M102" s="78"/>
      <c r="N102" s="47"/>
      <c r="O102" s="79"/>
      <c r="P102" s="47"/>
      <c r="Q102" s="47"/>
      <c r="R102" s="47"/>
      <c r="S102" s="47"/>
      <c r="T102" s="50"/>
      <c r="U102" s="51"/>
      <c r="V102" s="51"/>
      <c r="W102" s="45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</row>
    <row r="103" spans="1:48" ht="13.5" customHeight="1">
      <c r="A103" s="64"/>
      <c r="B103" s="47"/>
      <c r="C103" s="47"/>
      <c r="D103" s="47"/>
      <c r="E103" s="47"/>
      <c r="F103" s="47"/>
      <c r="G103" s="47"/>
      <c r="H103" s="47"/>
      <c r="I103" s="47"/>
      <c r="J103" s="47"/>
      <c r="K103" s="70"/>
      <c r="L103" s="47"/>
      <c r="M103" s="78"/>
      <c r="N103" s="47"/>
      <c r="O103" s="79"/>
      <c r="P103" s="47"/>
      <c r="Q103" s="47"/>
      <c r="R103" s="47"/>
      <c r="S103" s="47"/>
      <c r="T103" s="50"/>
      <c r="U103" s="51"/>
      <c r="V103" s="51"/>
      <c r="W103" s="45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</row>
    <row r="104" spans="1:48" ht="13.5" customHeight="1">
      <c r="A104" s="64"/>
      <c r="B104" s="47"/>
      <c r="C104" s="47"/>
      <c r="D104" s="47"/>
      <c r="E104" s="47"/>
      <c r="F104" s="47"/>
      <c r="G104" s="47"/>
      <c r="H104" s="47"/>
      <c r="I104" s="47"/>
      <c r="J104" s="47"/>
      <c r="K104" s="70"/>
      <c r="L104" s="47"/>
      <c r="M104" s="78"/>
      <c r="N104" s="47"/>
      <c r="O104" s="79"/>
      <c r="P104" s="47"/>
      <c r="Q104" s="47"/>
      <c r="R104" s="47"/>
      <c r="S104" s="47"/>
      <c r="T104" s="50"/>
      <c r="U104" s="51"/>
      <c r="V104" s="51"/>
      <c r="W104" s="45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</row>
    <row r="105" spans="1:48" ht="13.5" customHeight="1">
      <c r="A105" s="65"/>
      <c r="B105" s="47"/>
      <c r="C105" s="47"/>
      <c r="D105" s="47"/>
      <c r="E105" s="47"/>
      <c r="F105" s="47"/>
      <c r="G105" s="47"/>
      <c r="H105" s="47"/>
      <c r="I105" s="47"/>
      <c r="J105" s="47"/>
      <c r="K105" s="70"/>
      <c r="L105" s="47"/>
      <c r="M105" s="78"/>
      <c r="N105" s="47"/>
      <c r="O105" s="79"/>
      <c r="P105" s="47"/>
      <c r="Q105" s="47"/>
      <c r="R105" s="47"/>
      <c r="S105" s="47"/>
      <c r="T105" s="50"/>
      <c r="U105" s="51"/>
      <c r="V105" s="51"/>
      <c r="W105" s="45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</row>
    <row r="106" spans="1:48" ht="13.5" customHeight="1">
      <c r="A106" s="65"/>
      <c r="B106" s="47"/>
      <c r="C106" s="47"/>
      <c r="D106" s="47"/>
      <c r="E106" s="47"/>
      <c r="F106" s="47"/>
      <c r="G106" s="47"/>
      <c r="H106" s="47"/>
      <c r="I106" s="47"/>
      <c r="J106" s="47"/>
      <c r="K106" s="70"/>
      <c r="L106" s="47"/>
      <c r="M106" s="78"/>
      <c r="N106" s="47"/>
      <c r="O106" s="79"/>
      <c r="P106" s="47"/>
      <c r="Q106" s="47"/>
      <c r="R106" s="47"/>
      <c r="S106" s="47"/>
      <c r="T106" s="50"/>
      <c r="U106" s="51"/>
      <c r="V106" s="51"/>
      <c r="W106" s="45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</row>
    <row r="107" spans="1:48" ht="13.5" customHeight="1">
      <c r="A107" s="60"/>
      <c r="B107" s="47"/>
      <c r="C107" s="47"/>
      <c r="D107" s="47"/>
      <c r="E107" s="47"/>
      <c r="F107" s="47"/>
      <c r="G107" s="47"/>
      <c r="H107" s="47"/>
      <c r="I107" s="47"/>
      <c r="J107" s="47"/>
      <c r="K107" s="76"/>
      <c r="L107" s="47"/>
      <c r="M107" s="78"/>
      <c r="N107" s="47"/>
      <c r="O107" s="47"/>
      <c r="P107" s="47"/>
      <c r="Q107" s="47"/>
      <c r="R107" s="47"/>
      <c r="S107" s="47"/>
      <c r="T107" s="50"/>
      <c r="U107" s="51"/>
      <c r="V107" s="51"/>
      <c r="W107" s="45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</row>
    <row r="108" spans="1:48" ht="13.5" customHeight="1">
      <c r="A108" s="60"/>
      <c r="B108" s="47"/>
      <c r="C108" s="47"/>
      <c r="D108" s="47"/>
      <c r="E108" s="47"/>
      <c r="F108" s="47"/>
      <c r="G108" s="47"/>
      <c r="H108" s="47"/>
      <c r="I108" s="47"/>
      <c r="J108" s="47"/>
      <c r="K108" s="76"/>
      <c r="L108" s="47"/>
      <c r="M108" s="78"/>
      <c r="N108" s="47"/>
      <c r="O108" s="47"/>
      <c r="P108" s="47"/>
      <c r="Q108" s="47"/>
      <c r="R108" s="47"/>
      <c r="S108" s="47"/>
      <c r="T108" s="50"/>
      <c r="U108" s="51"/>
      <c r="V108" s="51"/>
      <c r="W108" s="45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</row>
    <row r="109" spans="1:48" ht="13.5" customHeight="1">
      <c r="A109" s="60"/>
      <c r="B109" s="47"/>
      <c r="C109" s="47"/>
      <c r="D109" s="47"/>
      <c r="E109" s="47"/>
      <c r="F109" s="47"/>
      <c r="G109" s="47"/>
      <c r="H109" s="47"/>
      <c r="I109" s="47"/>
      <c r="J109" s="47"/>
      <c r="K109" s="76"/>
      <c r="L109" s="47"/>
      <c r="M109" s="78"/>
      <c r="N109" s="47"/>
      <c r="O109" s="47"/>
      <c r="P109" s="47"/>
      <c r="Q109" s="47"/>
      <c r="R109" s="47"/>
      <c r="S109" s="47"/>
      <c r="T109" s="50"/>
      <c r="U109" s="51"/>
      <c r="V109" s="51"/>
      <c r="W109" s="45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</row>
    <row r="110" spans="1:48" ht="13.5" customHeight="1">
      <c r="A110" s="60"/>
      <c r="B110" s="47"/>
      <c r="C110" s="47"/>
      <c r="D110" s="47"/>
      <c r="E110" s="47"/>
      <c r="F110" s="47"/>
      <c r="G110" s="47"/>
      <c r="H110" s="47"/>
      <c r="I110" s="47"/>
      <c r="J110" s="47"/>
      <c r="K110" s="76"/>
      <c r="L110" s="47"/>
      <c r="M110" s="78"/>
      <c r="N110" s="47"/>
      <c r="O110" s="47"/>
      <c r="P110" s="47"/>
      <c r="Q110" s="47"/>
      <c r="R110" s="47"/>
      <c r="S110" s="47"/>
      <c r="T110" s="50"/>
      <c r="U110" s="51"/>
      <c r="V110" s="51"/>
      <c r="W110" s="45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</row>
    <row r="111" spans="1:48" ht="13.5" customHeight="1">
      <c r="A111" s="60"/>
      <c r="B111" s="47"/>
      <c r="C111" s="47"/>
      <c r="D111" s="47"/>
      <c r="E111" s="47"/>
      <c r="F111" s="47"/>
      <c r="G111" s="47"/>
      <c r="H111" s="47"/>
      <c r="I111" s="47"/>
      <c r="J111" s="47"/>
      <c r="K111" s="76"/>
      <c r="L111" s="47"/>
      <c r="M111" s="78"/>
      <c r="N111" s="47"/>
      <c r="O111" s="47"/>
      <c r="P111" s="47"/>
      <c r="Q111" s="47"/>
      <c r="R111" s="47"/>
      <c r="S111" s="47"/>
      <c r="T111" s="50"/>
      <c r="U111" s="51"/>
      <c r="V111" s="51"/>
      <c r="W111" s="45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</row>
    <row r="112" spans="1:48" ht="13.5" customHeight="1">
      <c r="A112" s="60"/>
      <c r="B112" s="47"/>
      <c r="C112" s="47"/>
      <c r="D112" s="47"/>
      <c r="E112" s="47"/>
      <c r="F112" s="47"/>
      <c r="G112" s="47"/>
      <c r="H112" s="47"/>
      <c r="I112" s="47"/>
      <c r="J112" s="47"/>
      <c r="K112" s="76"/>
      <c r="L112" s="47"/>
      <c r="M112" s="78"/>
      <c r="N112" s="47"/>
      <c r="O112" s="47"/>
      <c r="P112" s="47"/>
      <c r="Q112" s="47"/>
      <c r="R112" s="47"/>
      <c r="S112" s="47"/>
      <c r="T112" s="50"/>
      <c r="U112" s="51"/>
      <c r="V112" s="51"/>
      <c r="W112" s="45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</row>
    <row r="113" spans="1:48" ht="13.5" customHeight="1">
      <c r="A113" s="60"/>
      <c r="B113" s="47"/>
      <c r="C113" s="47"/>
      <c r="D113" s="47"/>
      <c r="E113" s="47"/>
      <c r="F113" s="47"/>
      <c r="G113" s="47"/>
      <c r="H113" s="47"/>
      <c r="I113" s="47"/>
      <c r="J113" s="47"/>
      <c r="K113" s="76"/>
      <c r="L113" s="47"/>
      <c r="M113" s="78"/>
      <c r="N113" s="47"/>
      <c r="O113" s="47"/>
      <c r="P113" s="47"/>
      <c r="Q113" s="47"/>
      <c r="R113" s="47"/>
      <c r="S113" s="47"/>
      <c r="T113" s="50"/>
      <c r="U113" s="51"/>
      <c r="V113" s="51"/>
      <c r="W113" s="45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</row>
    <row r="114" spans="1:48" ht="13.5" customHeight="1">
      <c r="A114" s="60"/>
      <c r="B114" s="47"/>
      <c r="C114" s="47"/>
      <c r="D114" s="47"/>
      <c r="E114" s="47"/>
      <c r="F114" s="47"/>
      <c r="G114" s="47"/>
      <c r="H114" s="47"/>
      <c r="I114" s="47"/>
      <c r="J114" s="47"/>
      <c r="K114" s="76"/>
      <c r="L114" s="47"/>
      <c r="M114" s="78"/>
      <c r="N114" s="47"/>
      <c r="O114" s="47"/>
      <c r="P114" s="47"/>
      <c r="Q114" s="47"/>
      <c r="R114" s="47"/>
      <c r="S114" s="47"/>
      <c r="T114" s="50"/>
      <c r="U114" s="51"/>
      <c r="V114" s="51"/>
      <c r="W114" s="45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</row>
    <row r="115" spans="1:48" ht="13.5" customHeight="1">
      <c r="A115" s="60"/>
      <c r="B115" s="47"/>
      <c r="C115" s="47"/>
      <c r="D115" s="47"/>
      <c r="E115" s="47"/>
      <c r="F115" s="47"/>
      <c r="G115" s="47"/>
      <c r="H115" s="47"/>
      <c r="I115" s="47"/>
      <c r="J115" s="47"/>
      <c r="K115" s="76"/>
      <c r="L115" s="47"/>
      <c r="M115" s="78"/>
      <c r="N115" s="47"/>
      <c r="O115" s="47"/>
      <c r="P115" s="47"/>
      <c r="Q115" s="47"/>
      <c r="R115" s="47"/>
      <c r="S115" s="47"/>
      <c r="T115" s="50"/>
      <c r="U115" s="51"/>
      <c r="V115" s="51"/>
      <c r="W115" s="45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</row>
    <row r="116" spans="1:48" ht="13.5" customHeight="1">
      <c r="A116" s="60"/>
      <c r="B116" s="47"/>
      <c r="C116" s="47"/>
      <c r="D116" s="47"/>
      <c r="E116" s="47"/>
      <c r="F116" s="47"/>
      <c r="G116" s="47"/>
      <c r="H116" s="47"/>
      <c r="I116" s="47"/>
      <c r="J116" s="47"/>
      <c r="K116" s="76"/>
      <c r="L116" s="47"/>
      <c r="M116" s="78"/>
      <c r="N116" s="47"/>
      <c r="O116" s="47"/>
      <c r="P116" s="47"/>
      <c r="Q116" s="47"/>
      <c r="R116" s="47"/>
      <c r="S116" s="47"/>
      <c r="T116" s="50"/>
      <c r="U116" s="51"/>
      <c r="V116" s="51"/>
      <c r="W116" s="45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</row>
    <row r="117" spans="1:48" ht="13.5" customHeight="1">
      <c r="A117" s="60"/>
      <c r="B117" s="47"/>
      <c r="C117" s="47"/>
      <c r="D117" s="47"/>
      <c r="E117" s="47"/>
      <c r="F117" s="47"/>
      <c r="G117" s="47"/>
      <c r="H117" s="47"/>
      <c r="I117" s="47"/>
      <c r="J117" s="47"/>
      <c r="K117" s="76"/>
      <c r="L117" s="47"/>
      <c r="M117" s="78"/>
      <c r="N117" s="47"/>
      <c r="O117" s="47"/>
      <c r="P117" s="47"/>
      <c r="Q117" s="47"/>
      <c r="R117" s="47"/>
      <c r="S117" s="47"/>
      <c r="T117" s="50"/>
      <c r="U117" s="51"/>
      <c r="V117" s="51"/>
      <c r="W117" s="45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</row>
    <row r="118" spans="1:48" ht="13.5" customHeight="1">
      <c r="A118" s="60"/>
      <c r="B118" s="47"/>
      <c r="C118" s="47"/>
      <c r="D118" s="47"/>
      <c r="E118" s="47"/>
      <c r="F118" s="47"/>
      <c r="G118" s="47"/>
      <c r="H118" s="47"/>
      <c r="I118" s="47"/>
      <c r="J118" s="47"/>
      <c r="K118" s="76"/>
      <c r="L118" s="47"/>
      <c r="M118" s="78"/>
      <c r="N118" s="47"/>
      <c r="O118" s="47"/>
      <c r="P118" s="47"/>
      <c r="Q118" s="47"/>
      <c r="R118" s="47"/>
      <c r="S118" s="47"/>
      <c r="T118" s="50"/>
      <c r="U118" s="51"/>
      <c r="V118" s="51"/>
      <c r="W118" s="45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</row>
    <row r="119" spans="1:48" ht="13.5" customHeight="1">
      <c r="A119" s="60"/>
      <c r="B119" s="47"/>
      <c r="C119" s="47"/>
      <c r="D119" s="47"/>
      <c r="E119" s="47"/>
      <c r="F119" s="47"/>
      <c r="G119" s="47"/>
      <c r="H119" s="47"/>
      <c r="I119" s="47"/>
      <c r="J119" s="47"/>
      <c r="K119" s="76"/>
      <c r="L119" s="47"/>
      <c r="M119" s="78"/>
      <c r="N119" s="47"/>
      <c r="O119" s="47"/>
      <c r="P119" s="47"/>
      <c r="Q119" s="47"/>
      <c r="R119" s="47"/>
      <c r="S119" s="47"/>
      <c r="T119" s="50"/>
      <c r="U119" s="51"/>
      <c r="V119" s="51"/>
      <c r="W119" s="45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</row>
    <row r="120" spans="1:48" ht="13.5" customHeight="1">
      <c r="A120" s="60"/>
      <c r="B120" s="47"/>
      <c r="C120" s="47"/>
      <c r="D120" s="47"/>
      <c r="E120" s="47"/>
      <c r="F120" s="47"/>
      <c r="G120" s="47"/>
      <c r="H120" s="47"/>
      <c r="I120" s="47"/>
      <c r="J120" s="47"/>
      <c r="K120" s="76"/>
      <c r="L120" s="47"/>
      <c r="M120" s="78"/>
      <c r="N120" s="47"/>
      <c r="O120" s="47"/>
      <c r="P120" s="47"/>
      <c r="Q120" s="47"/>
      <c r="R120" s="47"/>
      <c r="S120" s="47"/>
      <c r="T120" s="50"/>
      <c r="U120" s="51"/>
      <c r="V120" s="51"/>
      <c r="W120" s="45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</row>
    <row r="121" spans="1:48" ht="13.5" customHeight="1">
      <c r="A121" s="60"/>
      <c r="B121" s="47"/>
      <c r="C121" s="47"/>
      <c r="D121" s="47"/>
      <c r="E121" s="47"/>
      <c r="F121" s="47"/>
      <c r="G121" s="47"/>
      <c r="H121" s="47"/>
      <c r="I121" s="47"/>
      <c r="J121" s="47"/>
      <c r="K121" s="76"/>
      <c r="L121" s="47"/>
      <c r="M121" s="78"/>
      <c r="N121" s="47"/>
      <c r="O121" s="47"/>
      <c r="P121" s="47"/>
      <c r="Q121" s="47"/>
      <c r="R121" s="47"/>
      <c r="S121" s="47"/>
      <c r="T121" s="50"/>
      <c r="U121" s="51"/>
      <c r="V121" s="51"/>
      <c r="W121" s="45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</row>
    <row r="122" spans="1:48" ht="13.5" customHeight="1">
      <c r="A122" s="60"/>
      <c r="B122" s="47"/>
      <c r="C122" s="47"/>
      <c r="D122" s="47"/>
      <c r="E122" s="47"/>
      <c r="F122" s="47"/>
      <c r="G122" s="47"/>
      <c r="H122" s="47"/>
      <c r="I122" s="47"/>
      <c r="J122" s="47"/>
      <c r="K122" s="76"/>
      <c r="L122" s="47"/>
      <c r="M122" s="78"/>
      <c r="N122" s="47"/>
      <c r="O122" s="47"/>
      <c r="P122" s="47"/>
      <c r="Q122" s="47"/>
      <c r="R122" s="47"/>
      <c r="S122" s="47"/>
      <c r="T122" s="50"/>
      <c r="U122" s="51"/>
      <c r="V122" s="51"/>
      <c r="W122" s="45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</row>
    <row r="123" spans="1:48" ht="13.5" customHeight="1">
      <c r="A123" s="60"/>
      <c r="B123" s="47"/>
      <c r="C123" s="47"/>
      <c r="D123" s="47"/>
      <c r="E123" s="47"/>
      <c r="F123" s="47"/>
      <c r="G123" s="47"/>
      <c r="H123" s="47"/>
      <c r="I123" s="47"/>
      <c r="J123" s="47"/>
      <c r="K123" s="76"/>
      <c r="L123" s="47"/>
      <c r="M123" s="78"/>
      <c r="N123" s="47"/>
      <c r="O123" s="47"/>
      <c r="P123" s="47"/>
      <c r="Q123" s="47"/>
      <c r="R123" s="47"/>
      <c r="S123" s="47"/>
      <c r="T123" s="50"/>
      <c r="U123" s="51"/>
      <c r="V123" s="51"/>
      <c r="W123" s="45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</row>
    <row r="124" spans="1:48" ht="13.5" customHeight="1">
      <c r="A124" s="60"/>
      <c r="B124" s="47"/>
      <c r="C124" s="47"/>
      <c r="D124" s="47"/>
      <c r="E124" s="47"/>
      <c r="F124" s="47"/>
      <c r="G124" s="47"/>
      <c r="H124" s="47"/>
      <c r="I124" s="47"/>
      <c r="J124" s="47"/>
      <c r="K124" s="76"/>
      <c r="L124" s="47"/>
      <c r="M124" s="78"/>
      <c r="N124" s="47"/>
      <c r="O124" s="47"/>
      <c r="P124" s="47"/>
      <c r="Q124" s="47"/>
      <c r="R124" s="47"/>
      <c r="S124" s="47"/>
      <c r="T124" s="50"/>
      <c r="U124" s="51"/>
      <c r="V124" s="51"/>
      <c r="W124" s="45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</row>
    <row r="125" spans="1:48" ht="13.5" customHeight="1">
      <c r="A125" s="60"/>
      <c r="B125" s="47"/>
      <c r="C125" s="47"/>
      <c r="D125" s="47"/>
      <c r="E125" s="47"/>
      <c r="F125" s="47"/>
      <c r="G125" s="47"/>
      <c r="H125" s="47"/>
      <c r="I125" s="47"/>
      <c r="J125" s="47"/>
      <c r="K125" s="76"/>
      <c r="L125" s="47"/>
      <c r="M125" s="78"/>
      <c r="N125" s="47"/>
      <c r="O125" s="47"/>
      <c r="P125" s="47"/>
      <c r="Q125" s="47"/>
      <c r="R125" s="47"/>
      <c r="S125" s="47"/>
      <c r="T125" s="50"/>
      <c r="U125" s="51"/>
      <c r="V125" s="51"/>
      <c r="W125" s="45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</row>
    <row r="126" spans="1:48" ht="13.5" customHeight="1">
      <c r="A126" s="60"/>
      <c r="B126" s="47"/>
      <c r="C126" s="47"/>
      <c r="D126" s="47"/>
      <c r="E126" s="47"/>
      <c r="F126" s="47"/>
      <c r="G126" s="47"/>
      <c r="H126" s="47"/>
      <c r="I126" s="47"/>
      <c r="J126" s="47"/>
      <c r="K126" s="76"/>
      <c r="L126" s="47"/>
      <c r="M126" s="78"/>
      <c r="N126" s="47"/>
      <c r="O126" s="47"/>
      <c r="P126" s="47"/>
      <c r="Q126" s="47"/>
      <c r="R126" s="47"/>
      <c r="S126" s="47"/>
      <c r="T126" s="50"/>
      <c r="U126" s="51"/>
      <c r="V126" s="51"/>
      <c r="W126" s="45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</row>
    <row r="127" spans="1:48" ht="13.5" customHeight="1">
      <c r="A127" s="45"/>
      <c r="B127" s="118" t="s">
        <v>60</v>
      </c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43"/>
      <c r="V127" s="43"/>
      <c r="W127" s="45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</row>
    <row r="128" spans="1:48" ht="13.5" customHeight="1">
      <c r="A128" s="120" t="s">
        <v>46</v>
      </c>
      <c r="B128" s="47">
        <f t="shared" ref="B128:P128" si="10">B2</f>
        <v>28</v>
      </c>
      <c r="C128" s="47">
        <f t="shared" si="10"/>
        <v>29</v>
      </c>
      <c r="D128" s="47">
        <f t="shared" si="10"/>
        <v>30</v>
      </c>
      <c r="E128" s="47">
        <f t="shared" si="10"/>
        <v>31</v>
      </c>
      <c r="F128" s="47">
        <f t="shared" si="10"/>
        <v>1</v>
      </c>
      <c r="G128" s="47">
        <f t="shared" si="10"/>
        <v>2</v>
      </c>
      <c r="H128" s="47">
        <f t="shared" si="10"/>
        <v>3</v>
      </c>
      <c r="I128" s="47">
        <f t="shared" si="10"/>
        <v>4</v>
      </c>
      <c r="J128" s="47">
        <f t="shared" si="10"/>
        <v>5</v>
      </c>
      <c r="K128" s="47">
        <f t="shared" si="10"/>
        <v>6</v>
      </c>
      <c r="L128" s="47">
        <f t="shared" si="10"/>
        <v>7</v>
      </c>
      <c r="M128" s="47">
        <f t="shared" si="10"/>
        <v>8</v>
      </c>
      <c r="N128" s="47">
        <f t="shared" si="10"/>
        <v>9</v>
      </c>
      <c r="O128" s="47">
        <f t="shared" si="10"/>
        <v>10</v>
      </c>
      <c r="P128" s="47">
        <f t="shared" si="10"/>
        <v>11</v>
      </c>
      <c r="Q128" s="47">
        <v>12</v>
      </c>
      <c r="R128" s="47">
        <f t="shared" ref="R128:R129" si="11">R2</f>
        <v>0</v>
      </c>
      <c r="S128" s="47"/>
      <c r="T128" s="121" t="s">
        <v>57</v>
      </c>
      <c r="U128" s="123" t="s">
        <v>59</v>
      </c>
      <c r="V128" s="123" t="s">
        <v>47</v>
      </c>
      <c r="W128" s="45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</row>
    <row r="129" spans="1:48" ht="13.5" customHeight="1">
      <c r="A129" s="115"/>
      <c r="B129" s="66" t="str">
        <f t="shared" ref="B129:P129" si="12">B3</f>
        <v>Sat</v>
      </c>
      <c r="C129" s="66" t="str">
        <f t="shared" si="12"/>
        <v>Sun</v>
      </c>
      <c r="D129" s="66" t="str">
        <f t="shared" si="12"/>
        <v>Mon</v>
      </c>
      <c r="E129" s="66" t="str">
        <f t="shared" si="12"/>
        <v>Tue</v>
      </c>
      <c r="F129" s="66" t="str">
        <f t="shared" si="12"/>
        <v>Wed</v>
      </c>
      <c r="G129" s="66" t="str">
        <f t="shared" si="12"/>
        <v>Thu</v>
      </c>
      <c r="H129" s="66" t="str">
        <f t="shared" si="12"/>
        <v>Fri</v>
      </c>
      <c r="I129" s="66" t="str">
        <f t="shared" si="12"/>
        <v>Sat</v>
      </c>
      <c r="J129" s="66" t="str">
        <f t="shared" si="12"/>
        <v>Sun</v>
      </c>
      <c r="K129" s="66" t="str">
        <f t="shared" si="12"/>
        <v>Mon</v>
      </c>
      <c r="L129" s="66" t="str">
        <f t="shared" si="12"/>
        <v>Tue</v>
      </c>
      <c r="M129" s="66" t="str">
        <f t="shared" si="12"/>
        <v>Wed</v>
      </c>
      <c r="N129" s="66" t="str">
        <f t="shared" si="12"/>
        <v>Thu</v>
      </c>
      <c r="O129" s="66" t="str">
        <f t="shared" si="12"/>
        <v>Fri</v>
      </c>
      <c r="P129" s="66" t="str">
        <f t="shared" si="12"/>
        <v>Sat</v>
      </c>
      <c r="Q129" s="66" t="s">
        <v>53</v>
      </c>
      <c r="R129" s="66">
        <f t="shared" si="11"/>
        <v>0</v>
      </c>
      <c r="S129" s="67"/>
      <c r="T129" s="115"/>
      <c r="U129" s="115"/>
      <c r="V129" s="115"/>
      <c r="W129" s="45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</row>
    <row r="130" spans="1:48" ht="13.5" customHeight="1">
      <c r="A130" s="49"/>
      <c r="B130" s="47"/>
      <c r="C130" s="47"/>
      <c r="D130" s="47"/>
      <c r="E130" s="47"/>
      <c r="F130" s="47"/>
      <c r="G130" s="47"/>
      <c r="H130" s="66"/>
      <c r="I130" s="47"/>
      <c r="J130" s="81"/>
      <c r="K130" s="66"/>
      <c r="L130" s="81"/>
      <c r="M130" s="47"/>
      <c r="N130" s="47"/>
      <c r="O130" s="47"/>
      <c r="P130" s="47"/>
      <c r="Q130" s="47"/>
      <c r="R130" s="47"/>
      <c r="S130" s="47"/>
      <c r="T130" s="50"/>
      <c r="U130" s="51"/>
      <c r="V130" s="51"/>
      <c r="W130" s="45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</row>
    <row r="131" spans="1:48" ht="13.5" customHeight="1">
      <c r="A131" s="49"/>
      <c r="B131" s="47"/>
      <c r="C131" s="47"/>
      <c r="D131" s="47"/>
      <c r="E131" s="47"/>
      <c r="F131" s="82"/>
      <c r="G131" s="81"/>
      <c r="H131" s="81"/>
      <c r="I131" s="47"/>
      <c r="J131" s="66"/>
      <c r="K131" s="81"/>
      <c r="L131" s="66"/>
      <c r="M131" s="47"/>
      <c r="N131" s="47"/>
      <c r="O131" s="47"/>
      <c r="P131" s="76"/>
      <c r="Q131" s="76"/>
      <c r="R131" s="76"/>
      <c r="S131" s="47"/>
      <c r="T131" s="50"/>
      <c r="U131" s="51"/>
      <c r="V131" s="51"/>
      <c r="W131" s="45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</row>
    <row r="132" spans="1:48" ht="13.5" customHeight="1">
      <c r="A132" s="49" t="s">
        <v>39</v>
      </c>
      <c r="B132" s="47"/>
      <c r="C132" s="47"/>
      <c r="D132" s="47"/>
      <c r="E132" s="47"/>
      <c r="F132" s="47"/>
      <c r="G132" s="81"/>
      <c r="H132" s="81"/>
      <c r="I132" s="47"/>
      <c r="J132" s="81"/>
      <c r="K132" s="81"/>
      <c r="L132" s="81"/>
      <c r="M132" s="47"/>
      <c r="N132" s="47"/>
      <c r="O132" s="47"/>
      <c r="P132" s="76"/>
      <c r="Q132" s="76"/>
      <c r="R132" s="76"/>
      <c r="S132" s="47"/>
      <c r="T132" s="50">
        <f t="shared" ref="T130:T168" si="13">SUM(B132:S132)</f>
        <v>0</v>
      </c>
      <c r="U132" s="51"/>
      <c r="V132" s="51">
        <f t="shared" ref="V130:V168" si="14">T132+U132</f>
        <v>0</v>
      </c>
      <c r="W132" s="45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</row>
    <row r="133" spans="1:48" ht="13.5" customHeight="1">
      <c r="A133" s="49"/>
      <c r="B133" s="47"/>
      <c r="C133" s="47"/>
      <c r="D133" s="47"/>
      <c r="E133" s="47"/>
      <c r="F133" s="47"/>
      <c r="G133" s="81"/>
      <c r="H133" s="81"/>
      <c r="I133" s="47"/>
      <c r="J133" s="81"/>
      <c r="K133" s="66"/>
      <c r="L133" s="81"/>
      <c r="M133" s="47"/>
      <c r="N133" s="47"/>
      <c r="O133" s="47"/>
      <c r="P133" s="76"/>
      <c r="Q133" s="77"/>
      <c r="R133" s="77"/>
      <c r="S133" s="47"/>
      <c r="T133" s="50"/>
      <c r="U133" s="51"/>
      <c r="V133" s="51"/>
      <c r="W133" s="45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</row>
    <row r="134" spans="1:48" ht="13.5" customHeight="1">
      <c r="A134" s="60"/>
      <c r="B134" s="66"/>
      <c r="C134" s="66"/>
      <c r="D134" s="66"/>
      <c r="E134" s="66"/>
      <c r="F134" s="47"/>
      <c r="G134" s="66"/>
      <c r="H134" s="66"/>
      <c r="I134" s="47"/>
      <c r="J134" s="83"/>
      <c r="K134" s="66"/>
      <c r="L134" s="66"/>
      <c r="M134" s="47"/>
      <c r="N134" s="47"/>
      <c r="O134" s="47"/>
      <c r="P134" s="84"/>
      <c r="Q134" s="77"/>
      <c r="R134" s="77"/>
      <c r="S134" s="47"/>
      <c r="T134" s="50"/>
      <c r="U134" s="51"/>
      <c r="V134" s="51"/>
      <c r="W134" s="45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</row>
    <row r="135" spans="1:48" ht="13.5" customHeight="1">
      <c r="A135" s="60"/>
      <c r="B135" s="85"/>
      <c r="C135" s="85"/>
      <c r="D135" s="85"/>
      <c r="E135" s="85"/>
      <c r="F135" s="47"/>
      <c r="G135" s="81"/>
      <c r="H135" s="81"/>
      <c r="I135" s="47"/>
      <c r="J135" s="81"/>
      <c r="K135" s="66"/>
      <c r="L135" s="81"/>
      <c r="M135" s="47"/>
      <c r="N135" s="47"/>
      <c r="O135" s="47"/>
      <c r="P135" s="76"/>
      <c r="Q135" s="77"/>
      <c r="R135" s="77"/>
      <c r="S135" s="47"/>
      <c r="T135" s="50"/>
      <c r="U135" s="51"/>
      <c r="V135" s="51"/>
      <c r="W135" s="45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</row>
    <row r="136" spans="1:48" ht="13.5" customHeight="1">
      <c r="A136" s="49"/>
      <c r="B136" s="85"/>
      <c r="C136" s="85"/>
      <c r="D136" s="85"/>
      <c r="E136" s="85"/>
      <c r="F136" s="47"/>
      <c r="G136" s="81"/>
      <c r="H136" s="81"/>
      <c r="I136" s="47"/>
      <c r="J136" s="66"/>
      <c r="K136" s="81"/>
      <c r="L136" s="66"/>
      <c r="M136" s="47"/>
      <c r="N136" s="47"/>
      <c r="O136" s="47"/>
      <c r="P136" s="76"/>
      <c r="Q136" s="77"/>
      <c r="R136" s="77"/>
      <c r="S136" s="47"/>
      <c r="T136" s="50"/>
      <c r="U136" s="51"/>
      <c r="V136" s="51"/>
      <c r="W136" s="45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</row>
    <row r="137" spans="1:48" ht="13.5" customHeight="1">
      <c r="A137" s="49"/>
      <c r="B137" s="85"/>
      <c r="C137" s="85"/>
      <c r="D137" s="85"/>
      <c r="E137" s="85"/>
      <c r="F137" s="47"/>
      <c r="G137" s="81"/>
      <c r="H137" s="81"/>
      <c r="I137" s="47"/>
      <c r="J137" s="81"/>
      <c r="K137" s="66"/>
      <c r="L137" s="81"/>
      <c r="M137" s="47"/>
      <c r="N137" s="47"/>
      <c r="O137" s="47"/>
      <c r="P137" s="76"/>
      <c r="Q137" s="76"/>
      <c r="R137" s="76"/>
      <c r="S137" s="47"/>
      <c r="T137" s="50"/>
      <c r="U137" s="51"/>
      <c r="V137" s="51"/>
      <c r="W137" s="45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</row>
    <row r="138" spans="1:48" ht="13.5" customHeight="1">
      <c r="A138" s="62"/>
      <c r="B138" s="85"/>
      <c r="C138" s="85"/>
      <c r="D138" s="85"/>
      <c r="E138" s="85"/>
      <c r="F138" s="47"/>
      <c r="G138" s="81"/>
      <c r="H138" s="81"/>
      <c r="I138" s="47"/>
      <c r="J138" s="81"/>
      <c r="K138" s="81"/>
      <c r="L138" s="81"/>
      <c r="M138" s="47"/>
      <c r="N138" s="47"/>
      <c r="O138" s="47"/>
      <c r="P138" s="76"/>
      <c r="Q138" s="76"/>
      <c r="R138" s="76"/>
      <c r="S138" s="47"/>
      <c r="T138" s="50"/>
      <c r="U138" s="51"/>
      <c r="V138" s="51"/>
      <c r="W138" s="45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</row>
    <row r="139" spans="1:48" ht="13.5" customHeight="1">
      <c r="A139" s="64" t="s">
        <v>41</v>
      </c>
      <c r="B139" s="66">
        <v>1.17</v>
      </c>
      <c r="C139" s="66"/>
      <c r="D139" s="66">
        <v>0.5</v>
      </c>
      <c r="E139" s="66">
        <v>1.54</v>
      </c>
      <c r="F139" s="47">
        <v>0.54</v>
      </c>
      <c r="G139" s="66"/>
      <c r="H139" s="66"/>
      <c r="I139" s="47"/>
      <c r="J139" s="66"/>
      <c r="K139" s="81"/>
      <c r="L139" s="66">
        <v>0.44</v>
      </c>
      <c r="M139" s="47"/>
      <c r="N139" s="47"/>
      <c r="O139" s="47"/>
      <c r="P139" s="76"/>
      <c r="Q139" s="76"/>
      <c r="R139" s="76"/>
      <c r="S139" s="47"/>
      <c r="T139" s="50">
        <f t="shared" si="13"/>
        <v>4.1900000000000004</v>
      </c>
      <c r="U139" s="51"/>
      <c r="V139" s="51">
        <f t="shared" si="14"/>
        <v>4.1900000000000004</v>
      </c>
      <c r="W139" s="45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</row>
    <row r="140" spans="1:48" ht="13.5" customHeight="1">
      <c r="A140" s="64"/>
      <c r="B140" s="47"/>
      <c r="C140" s="47"/>
      <c r="D140" s="47"/>
      <c r="E140" s="47"/>
      <c r="F140" s="47"/>
      <c r="G140" s="66"/>
      <c r="H140" s="66"/>
      <c r="I140" s="47"/>
      <c r="J140" s="81"/>
      <c r="K140" s="81"/>
      <c r="L140" s="81"/>
      <c r="M140" s="47"/>
      <c r="N140" s="47"/>
      <c r="O140" s="47"/>
      <c r="P140" s="76"/>
      <c r="Q140" s="76"/>
      <c r="R140" s="76"/>
      <c r="S140" s="47"/>
      <c r="T140" s="50"/>
      <c r="U140" s="51"/>
      <c r="V140" s="51"/>
      <c r="W140" s="45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</row>
    <row r="141" spans="1:48" ht="13.5" customHeight="1">
      <c r="A141" s="64"/>
      <c r="B141" s="47"/>
      <c r="C141" s="47"/>
      <c r="D141" s="47"/>
      <c r="E141" s="47"/>
      <c r="F141" s="47"/>
      <c r="G141" s="66"/>
      <c r="H141" s="66"/>
      <c r="I141" s="47"/>
      <c r="J141" s="66"/>
      <c r="K141" s="81"/>
      <c r="L141" s="81"/>
      <c r="M141" s="47"/>
      <c r="N141" s="47"/>
      <c r="O141" s="47"/>
      <c r="P141" s="76"/>
      <c r="Q141" s="76"/>
      <c r="R141" s="76"/>
      <c r="S141" s="47"/>
      <c r="T141" s="50"/>
      <c r="U141" s="51"/>
      <c r="V141" s="51"/>
      <c r="W141" s="45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</row>
    <row r="142" spans="1:48" ht="13.5" customHeight="1">
      <c r="A142" s="64"/>
      <c r="B142" s="47"/>
      <c r="C142" s="47"/>
      <c r="D142" s="47"/>
      <c r="E142" s="47"/>
      <c r="F142" s="47"/>
      <c r="G142" s="81"/>
      <c r="H142" s="81"/>
      <c r="I142" s="47"/>
      <c r="J142" s="81"/>
      <c r="K142" s="81"/>
      <c r="L142" s="81"/>
      <c r="M142" s="47"/>
      <c r="N142" s="47"/>
      <c r="O142" s="47"/>
      <c r="P142" s="76"/>
      <c r="Q142" s="76"/>
      <c r="R142" s="76"/>
      <c r="S142" s="47"/>
      <c r="T142" s="50"/>
      <c r="U142" s="51"/>
      <c r="V142" s="51"/>
      <c r="W142" s="45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</row>
    <row r="143" spans="1:48" ht="13.5" customHeight="1">
      <c r="A143" s="64"/>
      <c r="B143" s="47"/>
      <c r="C143" s="47"/>
      <c r="D143" s="47"/>
      <c r="E143" s="47"/>
      <c r="F143" s="47"/>
      <c r="G143" s="81"/>
      <c r="H143" s="81"/>
      <c r="I143" s="47"/>
      <c r="J143" s="81"/>
      <c r="K143" s="81"/>
      <c r="L143" s="81"/>
      <c r="M143" s="47"/>
      <c r="N143" s="47"/>
      <c r="O143" s="47"/>
      <c r="P143" s="76"/>
      <c r="Q143" s="76"/>
      <c r="R143" s="76"/>
      <c r="S143" s="47"/>
      <c r="T143" s="50"/>
      <c r="U143" s="51"/>
      <c r="V143" s="51"/>
      <c r="W143" s="45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</row>
    <row r="144" spans="1:48" ht="13.5" customHeight="1">
      <c r="A144" s="64"/>
      <c r="B144" s="47"/>
      <c r="C144" s="47"/>
      <c r="D144" s="47"/>
      <c r="E144" s="47"/>
      <c r="F144" s="47"/>
      <c r="G144" s="81"/>
      <c r="H144" s="81"/>
      <c r="I144" s="47"/>
      <c r="J144" s="81"/>
      <c r="K144" s="81"/>
      <c r="L144" s="81"/>
      <c r="M144" s="47"/>
      <c r="N144" s="47"/>
      <c r="O144" s="47"/>
      <c r="P144" s="76"/>
      <c r="Q144" s="76"/>
      <c r="R144" s="76"/>
      <c r="S144" s="47"/>
      <c r="T144" s="50"/>
      <c r="U144" s="51"/>
      <c r="V144" s="51"/>
      <c r="W144" s="45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</row>
    <row r="145" spans="1:48" ht="13.5" customHeight="1">
      <c r="A145" s="64"/>
      <c r="B145" s="47"/>
      <c r="C145" s="47"/>
      <c r="D145" s="47"/>
      <c r="E145" s="47"/>
      <c r="F145" s="47"/>
      <c r="G145" s="81"/>
      <c r="H145" s="81"/>
      <c r="I145" s="47"/>
      <c r="J145" s="81"/>
      <c r="K145" s="81"/>
      <c r="L145" s="81"/>
      <c r="M145" s="47"/>
      <c r="N145" s="47"/>
      <c r="O145" s="47"/>
      <c r="P145" s="76"/>
      <c r="Q145" s="76"/>
      <c r="R145" s="76"/>
      <c r="S145" s="47"/>
      <c r="T145" s="50"/>
      <c r="U145" s="51"/>
      <c r="V145" s="51"/>
      <c r="W145" s="45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</row>
    <row r="146" spans="1:48" ht="13.5" customHeight="1">
      <c r="A146" s="64"/>
      <c r="B146" s="47"/>
      <c r="C146" s="47"/>
      <c r="D146" s="47"/>
      <c r="E146" s="47"/>
      <c r="F146" s="47"/>
      <c r="G146" s="81"/>
      <c r="H146" s="81"/>
      <c r="I146" s="47"/>
      <c r="J146" s="81"/>
      <c r="K146" s="81"/>
      <c r="L146" s="81"/>
      <c r="M146" s="47"/>
      <c r="N146" s="47"/>
      <c r="O146" s="47"/>
      <c r="P146" s="76"/>
      <c r="Q146" s="76"/>
      <c r="R146" s="76"/>
      <c r="S146" s="47"/>
      <c r="T146" s="50"/>
      <c r="U146" s="51"/>
      <c r="V146" s="51"/>
      <c r="W146" s="45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</row>
    <row r="147" spans="1:48" ht="13.5" customHeight="1">
      <c r="A147" s="65"/>
      <c r="B147" s="47"/>
      <c r="C147" s="47"/>
      <c r="D147" s="47"/>
      <c r="E147" s="47"/>
      <c r="F147" s="47"/>
      <c r="G147" s="81"/>
      <c r="H147" s="81"/>
      <c r="I147" s="47"/>
      <c r="J147" s="81"/>
      <c r="K147" s="81"/>
      <c r="L147" s="81"/>
      <c r="M147" s="47"/>
      <c r="N147" s="47"/>
      <c r="O147" s="47"/>
      <c r="P147" s="76"/>
      <c r="Q147" s="76"/>
      <c r="R147" s="76"/>
      <c r="S147" s="47"/>
      <c r="T147" s="50"/>
      <c r="U147" s="51"/>
      <c r="V147" s="51"/>
      <c r="W147" s="45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</row>
    <row r="148" spans="1:48" ht="13.5" customHeight="1">
      <c r="A148" s="65"/>
      <c r="B148" s="47"/>
      <c r="C148" s="47"/>
      <c r="D148" s="47"/>
      <c r="E148" s="47"/>
      <c r="F148" s="47"/>
      <c r="G148" s="81"/>
      <c r="H148" s="81"/>
      <c r="I148" s="47"/>
      <c r="J148" s="81"/>
      <c r="K148" s="81"/>
      <c r="L148" s="81"/>
      <c r="M148" s="47"/>
      <c r="N148" s="47"/>
      <c r="O148" s="47"/>
      <c r="P148" s="76"/>
      <c r="Q148" s="76"/>
      <c r="R148" s="76"/>
      <c r="S148" s="47"/>
      <c r="T148" s="50"/>
      <c r="U148" s="51"/>
      <c r="V148" s="51"/>
      <c r="W148" s="45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</row>
    <row r="149" spans="1:48" ht="13.5" customHeight="1">
      <c r="A149" s="49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76"/>
      <c r="Q149" s="76"/>
      <c r="R149" s="76"/>
      <c r="S149" s="47"/>
      <c r="T149" s="50"/>
      <c r="U149" s="51"/>
      <c r="V149" s="51"/>
      <c r="W149" s="45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</row>
    <row r="150" spans="1:48" ht="13.5" customHeight="1">
      <c r="A150" s="49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76"/>
      <c r="Q150" s="76"/>
      <c r="R150" s="76"/>
      <c r="S150" s="47"/>
      <c r="T150" s="50"/>
      <c r="U150" s="51"/>
      <c r="V150" s="51"/>
      <c r="W150" s="45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</row>
    <row r="151" spans="1:48" ht="13.5" customHeight="1">
      <c r="A151" s="49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76"/>
      <c r="Q151" s="76"/>
      <c r="R151" s="76"/>
      <c r="S151" s="47"/>
      <c r="T151" s="50"/>
      <c r="U151" s="51"/>
      <c r="V151" s="51"/>
      <c r="W151" s="45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</row>
    <row r="152" spans="1:48" ht="13.5" customHeight="1">
      <c r="A152" s="49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76"/>
      <c r="Q152" s="76"/>
      <c r="R152" s="76"/>
      <c r="S152" s="47"/>
      <c r="T152" s="50"/>
      <c r="U152" s="51"/>
      <c r="V152" s="51"/>
      <c r="W152" s="45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</row>
    <row r="153" spans="1:48" ht="13.5" customHeight="1">
      <c r="A153" s="49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76"/>
      <c r="Q153" s="76"/>
      <c r="R153" s="76"/>
      <c r="S153" s="47"/>
      <c r="T153" s="50"/>
      <c r="U153" s="51"/>
      <c r="V153" s="51"/>
      <c r="W153" s="45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</row>
    <row r="154" spans="1:48" ht="13.5" customHeight="1">
      <c r="A154" s="49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50"/>
      <c r="U154" s="51"/>
      <c r="V154" s="51"/>
      <c r="W154" s="45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</row>
    <row r="155" spans="1:48" ht="13.5" customHeight="1">
      <c r="A155" s="49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50"/>
      <c r="U155" s="51"/>
      <c r="V155" s="51"/>
      <c r="W155" s="45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</row>
    <row r="156" spans="1:48" ht="13.5" customHeight="1">
      <c r="A156" s="49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50"/>
      <c r="U156" s="51"/>
      <c r="V156" s="51"/>
      <c r="W156" s="45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</row>
    <row r="157" spans="1:48" ht="13.5" customHeight="1">
      <c r="A157" s="49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50"/>
      <c r="U157" s="51"/>
      <c r="V157" s="51"/>
      <c r="W157" s="45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</row>
    <row r="158" spans="1:48" ht="13.5" customHeight="1">
      <c r="A158" s="49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50"/>
      <c r="U158" s="51"/>
      <c r="V158" s="51"/>
      <c r="W158" s="45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</row>
    <row r="159" spans="1:48" ht="13.5" customHeight="1">
      <c r="A159" s="49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50"/>
      <c r="U159" s="51"/>
      <c r="V159" s="51"/>
      <c r="W159" s="45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</row>
    <row r="160" spans="1:48" ht="13.5" customHeight="1">
      <c r="A160" s="49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50"/>
      <c r="U160" s="51"/>
      <c r="V160" s="51"/>
      <c r="W160" s="45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</row>
    <row r="161" spans="1:48" ht="13.5" customHeight="1">
      <c r="A161" s="49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50"/>
      <c r="U161" s="51"/>
      <c r="V161" s="51"/>
      <c r="W161" s="45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</row>
    <row r="162" spans="1:48" ht="13.5" customHeight="1">
      <c r="A162" s="49"/>
      <c r="B162" s="76"/>
      <c r="C162" s="76"/>
      <c r="D162" s="76"/>
      <c r="E162" s="76"/>
      <c r="F162" s="76"/>
      <c r="G162" s="76"/>
      <c r="H162" s="76"/>
      <c r="I162" s="76"/>
      <c r="J162" s="76"/>
      <c r="K162" s="47"/>
      <c r="L162" s="47"/>
      <c r="M162" s="47"/>
      <c r="N162" s="47"/>
      <c r="O162" s="47"/>
      <c r="P162" s="47"/>
      <c r="Q162" s="47"/>
      <c r="R162" s="47"/>
      <c r="S162" s="47"/>
      <c r="T162" s="50"/>
      <c r="U162" s="51"/>
      <c r="V162" s="51"/>
      <c r="W162" s="45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</row>
    <row r="163" spans="1:48" ht="13.5" customHeight="1">
      <c r="A163" s="49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50"/>
      <c r="U163" s="51"/>
      <c r="V163" s="51"/>
      <c r="W163" s="45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</row>
    <row r="164" spans="1:48" ht="13.5" customHeight="1">
      <c r="A164" s="49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50"/>
      <c r="U164" s="51"/>
      <c r="V164" s="51"/>
      <c r="W164" s="45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</row>
    <row r="165" spans="1:48" ht="13.5" customHeight="1">
      <c r="A165" s="49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50"/>
      <c r="U165" s="51"/>
      <c r="V165" s="51"/>
      <c r="W165" s="45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</row>
    <row r="166" spans="1:48" ht="13.5" customHeight="1">
      <c r="A166" s="49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50"/>
      <c r="U166" s="51"/>
      <c r="V166" s="51"/>
      <c r="W166" s="45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</row>
    <row r="167" spans="1:48" ht="13.5" customHeight="1">
      <c r="A167" s="49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50"/>
      <c r="U167" s="51"/>
      <c r="V167" s="51"/>
      <c r="W167" s="45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</row>
    <row r="168" spans="1:48" ht="13.5" customHeight="1">
      <c r="A168" s="49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50"/>
      <c r="U168" s="51"/>
      <c r="V168" s="51"/>
      <c r="W168" s="45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</row>
    <row r="169" spans="1:48" ht="13.5" customHeight="1">
      <c r="A169" s="45"/>
      <c r="B169" s="118" t="s">
        <v>9</v>
      </c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43"/>
      <c r="V169" s="43"/>
      <c r="W169" s="45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</row>
    <row r="170" spans="1:48" ht="13.5" customHeight="1">
      <c r="A170" s="120" t="s">
        <v>46</v>
      </c>
      <c r="B170" s="47">
        <f t="shared" ref="B170:R170" si="15">B2</f>
        <v>28</v>
      </c>
      <c r="C170" s="47">
        <f t="shared" si="15"/>
        <v>29</v>
      </c>
      <c r="D170" s="47">
        <f t="shared" si="15"/>
        <v>30</v>
      </c>
      <c r="E170" s="47">
        <f t="shared" si="15"/>
        <v>31</v>
      </c>
      <c r="F170" s="47">
        <f t="shared" si="15"/>
        <v>1</v>
      </c>
      <c r="G170" s="47">
        <f t="shared" si="15"/>
        <v>2</v>
      </c>
      <c r="H170" s="47">
        <f t="shared" si="15"/>
        <v>3</v>
      </c>
      <c r="I170" s="47">
        <f t="shared" si="15"/>
        <v>4</v>
      </c>
      <c r="J170" s="47">
        <f t="shared" si="15"/>
        <v>5</v>
      </c>
      <c r="K170" s="47">
        <f t="shared" si="15"/>
        <v>6</v>
      </c>
      <c r="L170" s="47">
        <f t="shared" si="15"/>
        <v>7</v>
      </c>
      <c r="M170" s="47">
        <f t="shared" si="15"/>
        <v>8</v>
      </c>
      <c r="N170" s="47">
        <f t="shared" si="15"/>
        <v>9</v>
      </c>
      <c r="O170" s="47">
        <f t="shared" si="15"/>
        <v>10</v>
      </c>
      <c r="P170" s="47">
        <f t="shared" si="15"/>
        <v>11</v>
      </c>
      <c r="Q170" s="47">
        <f t="shared" si="15"/>
        <v>12</v>
      </c>
      <c r="R170" s="47">
        <f t="shared" si="15"/>
        <v>0</v>
      </c>
      <c r="S170" s="47"/>
      <c r="T170" s="121" t="s">
        <v>57</v>
      </c>
      <c r="U170" s="123" t="s">
        <v>59</v>
      </c>
      <c r="V170" s="123" t="s">
        <v>47</v>
      </c>
      <c r="W170" s="45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</row>
    <row r="171" spans="1:48" ht="13.5" customHeight="1">
      <c r="A171" s="115"/>
      <c r="B171" s="66" t="str">
        <f t="shared" ref="B171:R171" si="16">B3</f>
        <v>Sat</v>
      </c>
      <c r="C171" s="66" t="str">
        <f t="shared" si="16"/>
        <v>Sun</v>
      </c>
      <c r="D171" s="66" t="str">
        <f t="shared" si="16"/>
        <v>Mon</v>
      </c>
      <c r="E171" s="66" t="str">
        <f t="shared" si="16"/>
        <v>Tue</v>
      </c>
      <c r="F171" s="66" t="str">
        <f t="shared" si="16"/>
        <v>Wed</v>
      </c>
      <c r="G171" s="66" t="str">
        <f t="shared" si="16"/>
        <v>Thu</v>
      </c>
      <c r="H171" s="66" t="str">
        <f t="shared" si="16"/>
        <v>Fri</v>
      </c>
      <c r="I171" s="66" t="str">
        <f t="shared" si="16"/>
        <v>Sat</v>
      </c>
      <c r="J171" s="66" t="str">
        <f t="shared" si="16"/>
        <v>Sun</v>
      </c>
      <c r="K171" s="66" t="str">
        <f t="shared" si="16"/>
        <v>Mon</v>
      </c>
      <c r="L171" s="66" t="str">
        <f t="shared" si="16"/>
        <v>Tue</v>
      </c>
      <c r="M171" s="66" t="str">
        <f t="shared" si="16"/>
        <v>Wed</v>
      </c>
      <c r="N171" s="66" t="str">
        <f t="shared" si="16"/>
        <v>Thu</v>
      </c>
      <c r="O171" s="66" t="str">
        <f t="shared" si="16"/>
        <v>Fri</v>
      </c>
      <c r="P171" s="66" t="str">
        <f t="shared" si="16"/>
        <v>Sat</v>
      </c>
      <c r="Q171" s="66" t="str">
        <f t="shared" si="16"/>
        <v>Sun</v>
      </c>
      <c r="R171" s="66">
        <f t="shared" si="16"/>
        <v>0</v>
      </c>
      <c r="S171" s="67"/>
      <c r="T171" s="115"/>
      <c r="U171" s="115"/>
      <c r="V171" s="115"/>
      <c r="W171" s="45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</row>
    <row r="172" spans="1:48" ht="13.5" customHeight="1">
      <c r="A172" s="49"/>
      <c r="B172" s="47"/>
      <c r="C172" s="47"/>
      <c r="D172" s="47"/>
      <c r="E172" s="47"/>
      <c r="F172" s="47"/>
      <c r="G172" s="47"/>
      <c r="H172" s="47"/>
      <c r="I172" s="80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50"/>
      <c r="U172" s="51"/>
      <c r="V172" s="51"/>
      <c r="W172" s="45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</row>
    <row r="173" spans="1:48" ht="13.5" customHeight="1">
      <c r="A173" s="49"/>
      <c r="B173" s="47"/>
      <c r="C173" s="47"/>
      <c r="D173" s="47"/>
      <c r="E173" s="47"/>
      <c r="F173" s="47"/>
      <c r="G173" s="47"/>
      <c r="H173" s="47"/>
      <c r="I173" s="80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50"/>
      <c r="U173" s="51"/>
      <c r="V173" s="51"/>
      <c r="W173" s="45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</row>
    <row r="174" spans="1:48" ht="13.5" customHeight="1">
      <c r="A174" s="49" t="s">
        <v>39</v>
      </c>
      <c r="B174" s="47"/>
      <c r="C174" s="47"/>
      <c r="D174" s="47"/>
      <c r="E174" s="47"/>
      <c r="F174" s="47"/>
      <c r="G174" s="47">
        <v>1</v>
      </c>
      <c r="H174" s="47">
        <v>1</v>
      </c>
      <c r="I174" s="80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50">
        <f t="shared" ref="T172:T210" si="17">SUM(B174:S174)</f>
        <v>2</v>
      </c>
      <c r="U174" s="51"/>
      <c r="V174" s="51">
        <f t="shared" ref="V172:V210" si="18">T174+U174</f>
        <v>2</v>
      </c>
      <c r="W174" s="45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</row>
    <row r="175" spans="1:48" ht="13.5" customHeight="1">
      <c r="A175" s="49"/>
      <c r="B175" s="47"/>
      <c r="C175" s="47"/>
      <c r="D175" s="47"/>
      <c r="E175" s="47"/>
      <c r="F175" s="47"/>
      <c r="G175" s="47"/>
      <c r="H175" s="47"/>
      <c r="I175" s="80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50"/>
      <c r="U175" s="51"/>
      <c r="V175" s="51"/>
      <c r="W175" s="45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</row>
    <row r="176" spans="1:48" ht="13.5" customHeight="1">
      <c r="A176" s="60"/>
      <c r="B176" s="47"/>
      <c r="C176" s="47"/>
      <c r="D176" s="47"/>
      <c r="E176" s="47"/>
      <c r="F176" s="47"/>
      <c r="G176" s="47"/>
      <c r="H176" s="47"/>
      <c r="I176" s="80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50"/>
      <c r="U176" s="51"/>
      <c r="V176" s="51"/>
      <c r="W176" s="45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</row>
    <row r="177" spans="1:48" ht="13.5" customHeight="1">
      <c r="A177" s="60"/>
      <c r="B177" s="47"/>
      <c r="C177" s="47"/>
      <c r="D177" s="47"/>
      <c r="E177" s="47"/>
      <c r="F177" s="47"/>
      <c r="G177" s="47"/>
      <c r="H177" s="47"/>
      <c r="I177" s="80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50"/>
      <c r="U177" s="51"/>
      <c r="V177" s="51"/>
      <c r="W177" s="45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</row>
    <row r="178" spans="1:48" ht="13.5" customHeight="1">
      <c r="A178" s="49"/>
      <c r="B178" s="47"/>
      <c r="C178" s="47"/>
      <c r="D178" s="47"/>
      <c r="E178" s="47"/>
      <c r="F178" s="47"/>
      <c r="G178" s="47"/>
      <c r="H178" s="47"/>
      <c r="I178" s="80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50"/>
      <c r="U178" s="51"/>
      <c r="V178" s="51"/>
      <c r="W178" s="45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</row>
    <row r="179" spans="1:48" ht="13.5" customHeight="1">
      <c r="A179" s="49"/>
      <c r="B179" s="47"/>
      <c r="C179" s="47"/>
      <c r="D179" s="47"/>
      <c r="E179" s="47"/>
      <c r="F179" s="47"/>
      <c r="G179" s="47"/>
      <c r="H179" s="47"/>
      <c r="I179" s="80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50"/>
      <c r="U179" s="51"/>
      <c r="V179" s="51"/>
      <c r="W179" s="45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</row>
    <row r="180" spans="1:48" ht="13.5" customHeight="1">
      <c r="A180" s="62"/>
      <c r="B180" s="47"/>
      <c r="C180" s="47"/>
      <c r="D180" s="47"/>
      <c r="E180" s="47"/>
      <c r="F180" s="47"/>
      <c r="G180" s="47"/>
      <c r="H180" s="47"/>
      <c r="I180" s="80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50"/>
      <c r="U180" s="51"/>
      <c r="V180" s="51"/>
      <c r="W180" s="45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</row>
    <row r="181" spans="1:48" ht="13.5" customHeight="1">
      <c r="A181" s="64" t="s">
        <v>41</v>
      </c>
      <c r="B181" s="47"/>
      <c r="C181" s="47"/>
      <c r="D181" s="47"/>
      <c r="E181" s="47"/>
      <c r="F181" s="47"/>
      <c r="G181" s="47">
        <v>1</v>
      </c>
      <c r="H181" s="47">
        <v>1</v>
      </c>
      <c r="I181" s="80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50">
        <f t="shared" si="17"/>
        <v>2</v>
      </c>
      <c r="U181" s="51"/>
      <c r="V181" s="51">
        <f t="shared" si="18"/>
        <v>2</v>
      </c>
      <c r="W181" s="45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</row>
    <row r="182" spans="1:48" ht="13.5" customHeight="1">
      <c r="A182" s="64"/>
      <c r="B182" s="47"/>
      <c r="C182" s="47"/>
      <c r="D182" s="47"/>
      <c r="E182" s="47"/>
      <c r="F182" s="47"/>
      <c r="G182" s="47"/>
      <c r="H182" s="47"/>
      <c r="I182" s="80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50"/>
      <c r="U182" s="51"/>
      <c r="V182" s="51"/>
      <c r="W182" s="45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</row>
    <row r="183" spans="1:48" ht="13.5" customHeight="1">
      <c r="A183" s="64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50"/>
      <c r="U183" s="51"/>
      <c r="V183" s="51"/>
      <c r="W183" s="45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</row>
    <row r="184" spans="1:48" ht="13.5" customHeight="1">
      <c r="A184" s="64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50"/>
      <c r="U184" s="51"/>
      <c r="V184" s="51"/>
      <c r="W184" s="45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</row>
    <row r="185" spans="1:48" ht="13.5" customHeight="1">
      <c r="A185" s="64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50"/>
      <c r="U185" s="51"/>
      <c r="V185" s="51"/>
      <c r="W185" s="45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</row>
    <row r="186" spans="1:48" ht="13.5" customHeight="1">
      <c r="A186" s="64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50"/>
      <c r="U186" s="51"/>
      <c r="V186" s="51"/>
      <c r="W186" s="45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</row>
    <row r="187" spans="1:48" ht="13.5" customHeight="1">
      <c r="A187" s="64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50"/>
      <c r="U187" s="51"/>
      <c r="V187" s="51"/>
      <c r="W187" s="45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</row>
    <row r="188" spans="1:48" ht="13.5" customHeight="1">
      <c r="A188" s="64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50"/>
      <c r="U188" s="51"/>
      <c r="V188" s="51"/>
      <c r="W188" s="45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</row>
    <row r="189" spans="1:48" ht="13.5" customHeight="1">
      <c r="A189" s="65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50"/>
      <c r="U189" s="51"/>
      <c r="V189" s="51"/>
      <c r="W189" s="45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</row>
    <row r="190" spans="1:48" ht="13.5" customHeight="1">
      <c r="A190" s="65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50"/>
      <c r="U190" s="51"/>
      <c r="V190" s="51"/>
      <c r="W190" s="45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</row>
    <row r="191" spans="1:48" ht="13.5" customHeight="1">
      <c r="A191" s="49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50"/>
      <c r="U191" s="51"/>
      <c r="V191" s="51"/>
      <c r="W191" s="45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</row>
    <row r="192" spans="1:48" ht="13.5" customHeight="1">
      <c r="A192" s="49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50"/>
      <c r="U192" s="51"/>
      <c r="V192" s="51"/>
      <c r="W192" s="45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</row>
    <row r="193" spans="1:48" ht="13.5" customHeight="1">
      <c r="A193" s="49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50"/>
      <c r="U193" s="51"/>
      <c r="V193" s="51"/>
      <c r="W193" s="45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</row>
    <row r="194" spans="1:48" ht="13.5" customHeight="1">
      <c r="A194" s="49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50"/>
      <c r="U194" s="51"/>
      <c r="V194" s="51"/>
      <c r="W194" s="45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</row>
    <row r="195" spans="1:48" ht="13.5" customHeight="1">
      <c r="A195" s="49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50"/>
      <c r="U195" s="51"/>
      <c r="V195" s="51"/>
      <c r="W195" s="45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</row>
    <row r="196" spans="1:48" ht="13.5" customHeight="1">
      <c r="A196" s="49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50"/>
      <c r="U196" s="51"/>
      <c r="V196" s="51"/>
      <c r="W196" s="45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</row>
    <row r="197" spans="1:48" ht="13.5" customHeight="1">
      <c r="A197" s="49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50"/>
      <c r="U197" s="51"/>
      <c r="V197" s="51"/>
      <c r="W197" s="45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</row>
    <row r="198" spans="1:48" ht="13.5" customHeight="1">
      <c r="A198" s="49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50"/>
      <c r="U198" s="51"/>
      <c r="V198" s="51"/>
      <c r="W198" s="45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</row>
    <row r="199" spans="1:48" ht="13.5" customHeight="1">
      <c r="A199" s="49"/>
      <c r="B199" s="80"/>
      <c r="C199" s="80"/>
      <c r="D199" s="80"/>
      <c r="E199" s="80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50"/>
      <c r="U199" s="51"/>
      <c r="V199" s="51"/>
      <c r="W199" s="45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</row>
    <row r="200" spans="1:48" ht="13.5" customHeight="1">
      <c r="A200" s="49"/>
      <c r="B200" s="80"/>
      <c r="C200" s="80"/>
      <c r="D200" s="80"/>
      <c r="E200" s="80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50"/>
      <c r="U200" s="51"/>
      <c r="V200" s="51"/>
      <c r="W200" s="45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</row>
    <row r="201" spans="1:48" ht="13.5" customHeight="1">
      <c r="A201" s="49"/>
      <c r="B201" s="80"/>
      <c r="C201" s="80"/>
      <c r="D201" s="80"/>
      <c r="E201" s="80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50"/>
      <c r="U201" s="51"/>
      <c r="V201" s="51"/>
      <c r="W201" s="45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</row>
    <row r="202" spans="1:48" ht="13.5" customHeight="1">
      <c r="A202" s="49"/>
      <c r="B202" s="80"/>
      <c r="C202" s="80"/>
      <c r="D202" s="80"/>
      <c r="E202" s="80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50"/>
      <c r="U202" s="51"/>
      <c r="V202" s="51"/>
      <c r="W202" s="45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</row>
    <row r="203" spans="1:48" ht="13.5" customHeight="1">
      <c r="A203" s="49"/>
      <c r="B203" s="80"/>
      <c r="C203" s="80"/>
      <c r="D203" s="80"/>
      <c r="E203" s="80"/>
      <c r="F203" s="47"/>
      <c r="G203" s="80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50"/>
      <c r="U203" s="51"/>
      <c r="V203" s="51"/>
      <c r="W203" s="45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</row>
    <row r="204" spans="1:48" ht="13.5" customHeight="1">
      <c r="A204" s="49"/>
      <c r="B204" s="80"/>
      <c r="C204" s="80"/>
      <c r="D204" s="80"/>
      <c r="E204" s="80"/>
      <c r="F204" s="47"/>
      <c r="G204" s="80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50"/>
      <c r="U204" s="51"/>
      <c r="V204" s="51"/>
      <c r="W204" s="45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</row>
    <row r="205" spans="1:48" ht="13.5" customHeight="1">
      <c r="A205" s="49"/>
      <c r="B205" s="80"/>
      <c r="C205" s="80"/>
      <c r="D205" s="80"/>
      <c r="E205" s="80"/>
      <c r="F205" s="47"/>
      <c r="G205" s="80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50"/>
      <c r="U205" s="51"/>
      <c r="V205" s="51"/>
      <c r="W205" s="45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</row>
    <row r="206" spans="1:48" ht="13.5" customHeight="1">
      <c r="A206" s="49"/>
      <c r="B206" s="80"/>
      <c r="C206" s="80"/>
      <c r="D206" s="80"/>
      <c r="E206" s="80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50"/>
      <c r="U206" s="51"/>
      <c r="V206" s="51"/>
      <c r="W206" s="45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</row>
    <row r="207" spans="1:48" ht="13.5" customHeight="1">
      <c r="A207" s="49"/>
      <c r="B207" s="80"/>
      <c r="C207" s="80"/>
      <c r="D207" s="80"/>
      <c r="E207" s="80"/>
      <c r="F207" s="47"/>
      <c r="G207" s="80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50"/>
      <c r="U207" s="51"/>
      <c r="V207" s="51"/>
      <c r="W207" s="45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</row>
    <row r="208" spans="1:48" ht="13.5" customHeight="1">
      <c r="A208" s="49"/>
      <c r="B208" s="80"/>
      <c r="C208" s="80"/>
      <c r="D208" s="80"/>
      <c r="E208" s="80"/>
      <c r="F208" s="47"/>
      <c r="G208" s="80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50"/>
      <c r="U208" s="51"/>
      <c r="V208" s="51"/>
      <c r="W208" s="45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</row>
    <row r="209" spans="1:48" ht="13.5" customHeight="1">
      <c r="A209" s="49"/>
      <c r="B209" s="80"/>
      <c r="C209" s="80"/>
      <c r="D209" s="80"/>
      <c r="E209" s="80"/>
      <c r="F209" s="47"/>
      <c r="G209" s="80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50"/>
      <c r="U209" s="51"/>
      <c r="V209" s="51"/>
      <c r="W209" s="45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</row>
    <row r="210" spans="1:48" ht="13.5" customHeight="1">
      <c r="A210" s="49"/>
      <c r="B210" s="80"/>
      <c r="C210" s="80"/>
      <c r="D210" s="80"/>
      <c r="E210" s="80"/>
      <c r="F210" s="47"/>
      <c r="G210" s="80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50"/>
      <c r="U210" s="51"/>
      <c r="V210" s="51"/>
      <c r="W210" s="45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</row>
    <row r="211" spans="1:48" ht="13.5" customHeight="1">
      <c r="A211" s="45"/>
      <c r="B211" s="118" t="s">
        <v>61</v>
      </c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43"/>
      <c r="V211" s="43"/>
      <c r="W211" s="45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</row>
    <row r="212" spans="1:48" ht="13.5" customHeight="1">
      <c r="A212" s="120" t="s">
        <v>46</v>
      </c>
      <c r="B212" s="47">
        <f t="shared" ref="B212:R212" si="19">B2</f>
        <v>28</v>
      </c>
      <c r="C212" s="47">
        <f t="shared" si="19"/>
        <v>29</v>
      </c>
      <c r="D212" s="47">
        <f t="shared" si="19"/>
        <v>30</v>
      </c>
      <c r="E212" s="47">
        <f t="shared" si="19"/>
        <v>31</v>
      </c>
      <c r="F212" s="47">
        <f t="shared" si="19"/>
        <v>1</v>
      </c>
      <c r="G212" s="47">
        <f t="shared" si="19"/>
        <v>2</v>
      </c>
      <c r="H212" s="47">
        <f t="shared" si="19"/>
        <v>3</v>
      </c>
      <c r="I212" s="47">
        <f t="shared" si="19"/>
        <v>4</v>
      </c>
      <c r="J212" s="47">
        <f t="shared" si="19"/>
        <v>5</v>
      </c>
      <c r="K212" s="47">
        <f t="shared" si="19"/>
        <v>6</v>
      </c>
      <c r="L212" s="47">
        <f t="shared" si="19"/>
        <v>7</v>
      </c>
      <c r="M212" s="47">
        <f t="shared" si="19"/>
        <v>8</v>
      </c>
      <c r="N212" s="47">
        <f t="shared" si="19"/>
        <v>9</v>
      </c>
      <c r="O212" s="47">
        <f t="shared" si="19"/>
        <v>10</v>
      </c>
      <c r="P212" s="47">
        <f t="shared" si="19"/>
        <v>11</v>
      </c>
      <c r="Q212" s="47">
        <f t="shared" si="19"/>
        <v>12</v>
      </c>
      <c r="R212" s="47">
        <f t="shared" si="19"/>
        <v>0</v>
      </c>
      <c r="S212" s="47"/>
      <c r="T212" s="121" t="s">
        <v>57</v>
      </c>
      <c r="U212" s="123" t="s">
        <v>59</v>
      </c>
      <c r="V212" s="123" t="s">
        <v>47</v>
      </c>
      <c r="W212" s="45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</row>
    <row r="213" spans="1:48" ht="13.5" customHeight="1">
      <c r="A213" s="115"/>
      <c r="B213" s="66" t="str">
        <f t="shared" ref="B213:R213" si="20">B3</f>
        <v>Sat</v>
      </c>
      <c r="C213" s="66" t="str">
        <f t="shared" si="20"/>
        <v>Sun</v>
      </c>
      <c r="D213" s="66" t="str">
        <f t="shared" si="20"/>
        <v>Mon</v>
      </c>
      <c r="E213" s="66" t="str">
        <f t="shared" si="20"/>
        <v>Tue</v>
      </c>
      <c r="F213" s="66" t="str">
        <f t="shared" si="20"/>
        <v>Wed</v>
      </c>
      <c r="G213" s="66" t="str">
        <f t="shared" si="20"/>
        <v>Thu</v>
      </c>
      <c r="H213" s="66" t="str">
        <f t="shared" si="20"/>
        <v>Fri</v>
      </c>
      <c r="I213" s="66" t="str">
        <f t="shared" si="20"/>
        <v>Sat</v>
      </c>
      <c r="J213" s="66" t="str">
        <f t="shared" si="20"/>
        <v>Sun</v>
      </c>
      <c r="K213" s="66" t="str">
        <f t="shared" si="20"/>
        <v>Mon</v>
      </c>
      <c r="L213" s="66" t="str">
        <f t="shared" si="20"/>
        <v>Tue</v>
      </c>
      <c r="M213" s="66" t="str">
        <f t="shared" si="20"/>
        <v>Wed</v>
      </c>
      <c r="N213" s="66" t="str">
        <f t="shared" si="20"/>
        <v>Thu</v>
      </c>
      <c r="O213" s="66" t="str">
        <f t="shared" si="20"/>
        <v>Fri</v>
      </c>
      <c r="P213" s="66" t="str">
        <f t="shared" si="20"/>
        <v>Sat</v>
      </c>
      <c r="Q213" s="66" t="str">
        <f t="shared" si="20"/>
        <v>Sun</v>
      </c>
      <c r="R213" s="66">
        <f t="shared" si="20"/>
        <v>0</v>
      </c>
      <c r="S213" s="67"/>
      <c r="T213" s="115"/>
      <c r="U213" s="115"/>
      <c r="V213" s="115"/>
      <c r="W213" s="45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</row>
    <row r="214" spans="1:48" ht="13.5" customHeight="1">
      <c r="A214" s="49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79"/>
      <c r="N214" s="79"/>
      <c r="O214" s="79"/>
      <c r="P214" s="47"/>
      <c r="Q214" s="47"/>
      <c r="R214" s="47"/>
      <c r="S214" s="47"/>
      <c r="T214" s="50"/>
      <c r="U214" s="51"/>
      <c r="V214" s="51"/>
      <c r="W214" s="45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</row>
    <row r="215" spans="1:48" ht="13.5" customHeight="1">
      <c r="A215" s="49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79"/>
      <c r="N215" s="79"/>
      <c r="O215" s="79"/>
      <c r="P215" s="47"/>
      <c r="Q215" s="47"/>
      <c r="R215" s="47"/>
      <c r="S215" s="47"/>
      <c r="T215" s="50"/>
      <c r="U215" s="51"/>
      <c r="V215" s="51"/>
      <c r="W215" s="45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</row>
    <row r="216" spans="1:48" ht="13.5" customHeight="1">
      <c r="A216" s="49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79"/>
      <c r="N216" s="79"/>
      <c r="O216" s="79"/>
      <c r="P216" s="47"/>
      <c r="Q216" s="47"/>
      <c r="R216" s="47"/>
      <c r="S216" s="47"/>
      <c r="T216" s="50"/>
      <c r="U216" s="51"/>
      <c r="V216" s="51"/>
      <c r="W216" s="45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</row>
    <row r="217" spans="1:48" ht="13.5" customHeight="1">
      <c r="A217" s="49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79"/>
      <c r="N217" s="79"/>
      <c r="O217" s="79"/>
      <c r="P217" s="47"/>
      <c r="Q217" s="47"/>
      <c r="R217" s="47"/>
      <c r="S217" s="47"/>
      <c r="T217" s="50"/>
      <c r="U217" s="51"/>
      <c r="V217" s="51"/>
      <c r="W217" s="45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</row>
    <row r="218" spans="1:48" ht="13.5" customHeight="1">
      <c r="A218" s="60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79"/>
      <c r="N218" s="79"/>
      <c r="O218" s="79"/>
      <c r="P218" s="47"/>
      <c r="Q218" s="47"/>
      <c r="R218" s="47"/>
      <c r="S218" s="47"/>
      <c r="T218" s="50"/>
      <c r="U218" s="51"/>
      <c r="V218" s="51"/>
      <c r="W218" s="45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</row>
    <row r="219" spans="1:48" ht="13.5" customHeight="1">
      <c r="A219" s="60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79"/>
      <c r="N219" s="79"/>
      <c r="O219" s="79"/>
      <c r="P219" s="47"/>
      <c r="Q219" s="47"/>
      <c r="R219" s="47"/>
      <c r="S219" s="47"/>
      <c r="T219" s="50"/>
      <c r="U219" s="51"/>
      <c r="V219" s="51"/>
      <c r="W219" s="45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</row>
    <row r="220" spans="1:48" ht="13.5" customHeight="1">
      <c r="A220" s="49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79"/>
      <c r="N220" s="79"/>
      <c r="O220" s="79"/>
      <c r="P220" s="47"/>
      <c r="Q220" s="47"/>
      <c r="R220" s="47"/>
      <c r="S220" s="47"/>
      <c r="T220" s="50"/>
      <c r="U220" s="51"/>
      <c r="V220" s="51"/>
      <c r="W220" s="45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</row>
    <row r="221" spans="1:48" ht="13.5" customHeight="1">
      <c r="A221" s="49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79"/>
      <c r="N221" s="79"/>
      <c r="O221" s="79"/>
      <c r="P221" s="47"/>
      <c r="Q221" s="47"/>
      <c r="R221" s="47"/>
      <c r="S221" s="47"/>
      <c r="T221" s="50"/>
      <c r="U221" s="51"/>
      <c r="V221" s="51"/>
      <c r="W221" s="45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</row>
    <row r="222" spans="1:48" ht="13.5" customHeight="1">
      <c r="A222" s="62"/>
      <c r="B222" s="80"/>
      <c r="C222" s="80"/>
      <c r="D222" s="80"/>
      <c r="E222" s="80"/>
      <c r="F222" s="47"/>
      <c r="G222" s="80"/>
      <c r="H222" s="47"/>
      <c r="I222" s="47"/>
      <c r="J222" s="47"/>
      <c r="K222" s="47"/>
      <c r="L222" s="47"/>
      <c r="M222" s="79"/>
      <c r="N222" s="79"/>
      <c r="O222" s="79"/>
      <c r="P222" s="47"/>
      <c r="Q222" s="47"/>
      <c r="R222" s="47"/>
      <c r="S222" s="47"/>
      <c r="T222" s="50"/>
      <c r="U222" s="51"/>
      <c r="V222" s="51"/>
      <c r="W222" s="45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</row>
    <row r="223" spans="1:48" ht="13.5" customHeight="1">
      <c r="A223" s="64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79"/>
      <c r="N223" s="79"/>
      <c r="O223" s="79"/>
      <c r="P223" s="47"/>
      <c r="Q223" s="47"/>
      <c r="R223" s="47"/>
      <c r="S223" s="47"/>
      <c r="T223" s="50"/>
      <c r="U223" s="51"/>
      <c r="V223" s="51"/>
      <c r="W223" s="45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</row>
    <row r="224" spans="1:48" ht="13.5" customHeight="1">
      <c r="A224" s="64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79"/>
      <c r="N224" s="79"/>
      <c r="O224" s="79"/>
      <c r="P224" s="47"/>
      <c r="Q224" s="47"/>
      <c r="R224" s="47"/>
      <c r="S224" s="47"/>
      <c r="T224" s="50"/>
      <c r="U224" s="51"/>
      <c r="V224" s="51"/>
      <c r="W224" s="45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</row>
    <row r="225" spans="1:48" ht="13.5" customHeight="1">
      <c r="A225" s="64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79"/>
      <c r="N225" s="79"/>
      <c r="O225" s="79"/>
      <c r="P225" s="47"/>
      <c r="Q225" s="47"/>
      <c r="R225" s="47"/>
      <c r="S225" s="47"/>
      <c r="T225" s="50"/>
      <c r="U225" s="51"/>
      <c r="V225" s="51"/>
      <c r="W225" s="45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</row>
    <row r="226" spans="1:48" ht="13.5" customHeight="1">
      <c r="A226" s="64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79"/>
      <c r="N226" s="79"/>
      <c r="O226" s="79"/>
      <c r="P226" s="47"/>
      <c r="Q226" s="47"/>
      <c r="R226" s="47"/>
      <c r="S226" s="47"/>
      <c r="T226" s="50"/>
      <c r="U226" s="51"/>
      <c r="V226" s="51"/>
      <c r="W226" s="45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</row>
    <row r="227" spans="1:48" ht="13.5" customHeight="1">
      <c r="A227" s="64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79"/>
      <c r="N227" s="79"/>
      <c r="O227" s="79"/>
      <c r="P227" s="47"/>
      <c r="Q227" s="47"/>
      <c r="R227" s="47"/>
      <c r="S227" s="47"/>
      <c r="T227" s="50"/>
      <c r="U227" s="51"/>
      <c r="V227" s="51"/>
      <c r="W227" s="45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</row>
    <row r="228" spans="1:48" ht="13.5" customHeight="1">
      <c r="A228" s="64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79"/>
      <c r="N228" s="79"/>
      <c r="O228" s="79"/>
      <c r="P228" s="47"/>
      <c r="Q228" s="47"/>
      <c r="R228" s="47"/>
      <c r="S228" s="47"/>
      <c r="T228" s="50"/>
      <c r="U228" s="51"/>
      <c r="V228" s="51"/>
      <c r="W228" s="45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</row>
    <row r="229" spans="1:48" ht="13.5" customHeight="1">
      <c r="A229" s="64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79"/>
      <c r="N229" s="79"/>
      <c r="O229" s="79"/>
      <c r="P229" s="47"/>
      <c r="Q229" s="47"/>
      <c r="R229" s="47"/>
      <c r="S229" s="47"/>
      <c r="T229" s="50"/>
      <c r="U229" s="51"/>
      <c r="V229" s="51"/>
      <c r="W229" s="45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</row>
    <row r="230" spans="1:48" ht="13.5" customHeight="1">
      <c r="A230" s="64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79"/>
      <c r="N230" s="79"/>
      <c r="O230" s="79"/>
      <c r="P230" s="47"/>
      <c r="Q230" s="47"/>
      <c r="R230" s="47"/>
      <c r="S230" s="47"/>
      <c r="T230" s="50"/>
      <c r="U230" s="51"/>
      <c r="V230" s="51"/>
      <c r="W230" s="45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</row>
    <row r="231" spans="1:48" ht="13.5" customHeight="1">
      <c r="A231" s="65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79"/>
      <c r="N231" s="79"/>
      <c r="O231" s="79"/>
      <c r="P231" s="47"/>
      <c r="Q231" s="47"/>
      <c r="R231" s="47"/>
      <c r="S231" s="47"/>
      <c r="T231" s="50"/>
      <c r="U231" s="51"/>
      <c r="V231" s="51"/>
      <c r="W231" s="45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</row>
    <row r="232" spans="1:48" ht="13.5" customHeight="1">
      <c r="A232" s="65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79"/>
      <c r="N232" s="79"/>
      <c r="O232" s="79"/>
      <c r="P232" s="47"/>
      <c r="Q232" s="47"/>
      <c r="R232" s="47"/>
      <c r="S232" s="47"/>
      <c r="T232" s="50"/>
      <c r="U232" s="51"/>
      <c r="V232" s="51"/>
      <c r="W232" s="45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</row>
    <row r="233" spans="1:48" ht="13.5" customHeight="1">
      <c r="A233" s="60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50"/>
      <c r="U233" s="51"/>
      <c r="V233" s="51"/>
      <c r="W233" s="45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</row>
    <row r="234" spans="1:48" ht="13.5" customHeight="1">
      <c r="A234" s="60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50"/>
      <c r="U234" s="51"/>
      <c r="V234" s="51"/>
      <c r="W234" s="45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</row>
    <row r="235" spans="1:48" ht="13.5" customHeight="1">
      <c r="A235" s="60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50"/>
      <c r="U235" s="51"/>
      <c r="V235" s="51"/>
      <c r="W235" s="45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</row>
    <row r="236" spans="1:48" ht="13.5" customHeight="1">
      <c r="A236" s="60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50"/>
      <c r="U236" s="51"/>
      <c r="V236" s="51"/>
      <c r="W236" s="45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</row>
    <row r="237" spans="1:48" ht="13.5" customHeight="1">
      <c r="A237" s="60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50"/>
      <c r="U237" s="51"/>
      <c r="V237" s="51"/>
      <c r="W237" s="45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</row>
    <row r="238" spans="1:48" ht="13.5" customHeight="1">
      <c r="A238" s="60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50"/>
      <c r="U238" s="51"/>
      <c r="V238" s="51"/>
      <c r="W238" s="45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</row>
    <row r="239" spans="1:48" ht="13.5" customHeight="1">
      <c r="A239" s="60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50"/>
      <c r="U239" s="51"/>
      <c r="V239" s="51"/>
      <c r="W239" s="45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</row>
    <row r="240" spans="1:48" ht="13.5" customHeight="1">
      <c r="A240" s="60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50"/>
      <c r="U240" s="51"/>
      <c r="V240" s="51"/>
      <c r="W240" s="45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</row>
    <row r="241" spans="1:48" ht="13.5" customHeight="1">
      <c r="A241" s="60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50"/>
      <c r="U241" s="51"/>
      <c r="V241" s="51"/>
      <c r="W241" s="45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</row>
    <row r="242" spans="1:48" ht="13.5" customHeight="1">
      <c r="A242" s="60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50"/>
      <c r="U242" s="51"/>
      <c r="V242" s="51"/>
      <c r="W242" s="45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</row>
    <row r="243" spans="1:48" ht="13.5" customHeight="1">
      <c r="A243" s="60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50"/>
      <c r="U243" s="51"/>
      <c r="V243" s="51"/>
      <c r="W243" s="45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</row>
    <row r="244" spans="1:48" ht="13.5" customHeight="1">
      <c r="A244" s="60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50"/>
      <c r="U244" s="51"/>
      <c r="V244" s="51"/>
      <c r="W244" s="45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</row>
    <row r="245" spans="1:48" ht="13.5" customHeight="1">
      <c r="A245" s="60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50"/>
      <c r="U245" s="51"/>
      <c r="V245" s="51"/>
      <c r="W245" s="45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</row>
    <row r="246" spans="1:48" ht="13.5" customHeight="1">
      <c r="A246" s="60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50"/>
      <c r="U246" s="51"/>
      <c r="V246" s="51"/>
      <c r="W246" s="45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</row>
    <row r="247" spans="1:48" ht="13.5" customHeight="1">
      <c r="A247" s="60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50"/>
      <c r="U247" s="51"/>
      <c r="V247" s="51"/>
      <c r="W247" s="45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</row>
    <row r="248" spans="1:48" ht="13.5" customHeight="1">
      <c r="A248" s="60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50"/>
      <c r="U248" s="51"/>
      <c r="V248" s="51"/>
      <c r="W248" s="45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</row>
    <row r="249" spans="1:48" ht="13.5" customHeight="1">
      <c r="A249" s="60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50"/>
      <c r="U249" s="51"/>
      <c r="V249" s="51"/>
      <c r="W249" s="45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</row>
    <row r="250" spans="1:48" ht="13.5" customHeight="1">
      <c r="A250" s="60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50"/>
      <c r="U250" s="51"/>
      <c r="V250" s="51"/>
      <c r="W250" s="45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</row>
    <row r="251" spans="1:48" ht="13.5" customHeight="1">
      <c r="A251" s="60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50"/>
      <c r="U251" s="51"/>
      <c r="V251" s="51"/>
      <c r="W251" s="45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</row>
    <row r="252" spans="1:48" ht="13.5" customHeight="1">
      <c r="A252" s="60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50"/>
      <c r="U252" s="51"/>
      <c r="V252" s="51"/>
      <c r="W252" s="45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</row>
    <row r="253" spans="1:48" ht="13.5" customHeight="1">
      <c r="A253" s="45"/>
      <c r="B253" s="127" t="s">
        <v>11</v>
      </c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43"/>
      <c r="V253" s="43"/>
      <c r="W253" s="45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</row>
    <row r="254" spans="1:48" ht="13.5" customHeight="1">
      <c r="A254" s="120" t="s">
        <v>46</v>
      </c>
      <c r="B254" s="47">
        <f t="shared" ref="B254:R254" si="21">B2</f>
        <v>28</v>
      </c>
      <c r="C254" s="47">
        <f t="shared" si="21"/>
        <v>29</v>
      </c>
      <c r="D254" s="47">
        <f t="shared" si="21"/>
        <v>30</v>
      </c>
      <c r="E254" s="47">
        <f t="shared" si="21"/>
        <v>31</v>
      </c>
      <c r="F254" s="47">
        <f t="shared" si="21"/>
        <v>1</v>
      </c>
      <c r="G254" s="47">
        <f t="shared" si="21"/>
        <v>2</v>
      </c>
      <c r="H254" s="47">
        <f t="shared" si="21"/>
        <v>3</v>
      </c>
      <c r="I254" s="47">
        <f t="shared" si="21"/>
        <v>4</v>
      </c>
      <c r="J254" s="47">
        <f t="shared" si="21"/>
        <v>5</v>
      </c>
      <c r="K254" s="47">
        <f t="shared" si="21"/>
        <v>6</v>
      </c>
      <c r="L254" s="47">
        <f t="shared" si="21"/>
        <v>7</v>
      </c>
      <c r="M254" s="47">
        <f t="shared" si="21"/>
        <v>8</v>
      </c>
      <c r="N254" s="47">
        <f t="shared" si="21"/>
        <v>9</v>
      </c>
      <c r="O254" s="47">
        <f t="shared" si="21"/>
        <v>10</v>
      </c>
      <c r="P254" s="47">
        <f t="shared" si="21"/>
        <v>11</v>
      </c>
      <c r="Q254" s="47">
        <f t="shared" si="21"/>
        <v>12</v>
      </c>
      <c r="R254" s="47">
        <f t="shared" si="21"/>
        <v>0</v>
      </c>
      <c r="S254" s="47"/>
      <c r="T254" s="121" t="s">
        <v>47</v>
      </c>
      <c r="U254" s="123"/>
      <c r="V254" s="121" t="s">
        <v>47</v>
      </c>
      <c r="W254" s="45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</row>
    <row r="255" spans="1:48" ht="13.5" customHeight="1">
      <c r="A255" s="115"/>
      <c r="B255" s="66" t="str">
        <f t="shared" ref="B255:R255" si="22">B3</f>
        <v>Sat</v>
      </c>
      <c r="C255" s="66" t="str">
        <f t="shared" si="22"/>
        <v>Sun</v>
      </c>
      <c r="D255" s="66" t="str">
        <f t="shared" si="22"/>
        <v>Mon</v>
      </c>
      <c r="E255" s="66" t="str">
        <f t="shared" si="22"/>
        <v>Tue</v>
      </c>
      <c r="F255" s="66" t="str">
        <f t="shared" si="22"/>
        <v>Wed</v>
      </c>
      <c r="G255" s="66" t="str">
        <f t="shared" si="22"/>
        <v>Thu</v>
      </c>
      <c r="H255" s="66" t="str">
        <f t="shared" si="22"/>
        <v>Fri</v>
      </c>
      <c r="I255" s="66" t="str">
        <f t="shared" si="22"/>
        <v>Sat</v>
      </c>
      <c r="J255" s="66" t="str">
        <f t="shared" si="22"/>
        <v>Sun</v>
      </c>
      <c r="K255" s="66" t="str">
        <f t="shared" si="22"/>
        <v>Mon</v>
      </c>
      <c r="L255" s="66" t="str">
        <f t="shared" si="22"/>
        <v>Tue</v>
      </c>
      <c r="M255" s="66" t="str">
        <f t="shared" si="22"/>
        <v>Wed</v>
      </c>
      <c r="N255" s="66" t="str">
        <f t="shared" si="22"/>
        <v>Thu</v>
      </c>
      <c r="O255" s="66" t="str">
        <f t="shared" si="22"/>
        <v>Fri</v>
      </c>
      <c r="P255" s="66" t="str">
        <f t="shared" si="22"/>
        <v>Sat</v>
      </c>
      <c r="Q255" s="66" t="str">
        <f t="shared" si="22"/>
        <v>Sun</v>
      </c>
      <c r="R255" s="66">
        <f t="shared" si="22"/>
        <v>0</v>
      </c>
      <c r="S255" s="67"/>
      <c r="T255" s="115"/>
      <c r="U255" s="115"/>
      <c r="V255" s="115"/>
      <c r="W255" s="45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</row>
    <row r="256" spans="1:48" ht="12.75" customHeight="1">
      <c r="A256" s="49"/>
      <c r="B256" s="86"/>
      <c r="C256" s="86"/>
      <c r="D256" s="86"/>
      <c r="E256" s="86"/>
      <c r="F256" s="86"/>
      <c r="G256" s="87"/>
      <c r="H256" s="86"/>
      <c r="I256" s="86"/>
      <c r="J256" s="86"/>
      <c r="K256" s="86"/>
      <c r="L256" s="86"/>
      <c r="M256" s="86"/>
      <c r="N256" s="86"/>
      <c r="O256" s="86"/>
      <c r="P256" s="86"/>
      <c r="Q256" s="79"/>
      <c r="R256" s="79"/>
      <c r="S256" s="79"/>
      <c r="T256" s="50"/>
      <c r="U256" s="51"/>
      <c r="V256" s="51"/>
      <c r="W256" s="45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</row>
    <row r="257" spans="1:48" ht="13.5" customHeight="1">
      <c r="A257" s="49"/>
      <c r="B257" s="86"/>
      <c r="C257" s="86"/>
      <c r="D257" s="86"/>
      <c r="E257" s="86"/>
      <c r="F257" s="86"/>
      <c r="G257" s="87"/>
      <c r="H257" s="86"/>
      <c r="I257" s="86"/>
      <c r="J257" s="86"/>
      <c r="K257" s="86"/>
      <c r="L257" s="86"/>
      <c r="M257" s="86"/>
      <c r="N257" s="86"/>
      <c r="O257" s="86"/>
      <c r="P257" s="86"/>
      <c r="Q257" s="79"/>
      <c r="R257" s="79"/>
      <c r="S257" s="79"/>
      <c r="T257" s="50"/>
      <c r="U257" s="51"/>
      <c r="V257" s="51"/>
      <c r="W257" s="45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</row>
    <row r="258" spans="1:48" ht="13.5" customHeight="1">
      <c r="A258" s="49" t="s">
        <v>39</v>
      </c>
      <c r="B258" s="47"/>
      <c r="C258" s="47"/>
      <c r="D258" s="47"/>
      <c r="E258" s="47"/>
      <c r="F258" s="47"/>
      <c r="G258" s="47"/>
      <c r="H258" s="47"/>
      <c r="I258" s="80"/>
      <c r="J258" s="86"/>
      <c r="K258" s="86"/>
      <c r="L258" s="86"/>
      <c r="M258" s="86"/>
      <c r="N258" s="86"/>
      <c r="O258" s="86"/>
      <c r="P258" s="86"/>
      <c r="Q258" s="79"/>
      <c r="R258" s="79"/>
      <c r="S258" s="79"/>
      <c r="T258" s="50">
        <f t="shared" ref="T256:T294" si="23">SUM(B258:S258)</f>
        <v>0</v>
      </c>
      <c r="U258" s="51"/>
      <c r="V258" s="51">
        <f t="shared" ref="V256:V294" si="24">T258+U258</f>
        <v>0</v>
      </c>
      <c r="W258" s="45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</row>
    <row r="259" spans="1:48" ht="13.5" customHeight="1">
      <c r="A259" s="49"/>
      <c r="B259" s="47"/>
      <c r="C259" s="47"/>
      <c r="D259" s="47"/>
      <c r="E259" s="47"/>
      <c r="F259" s="47"/>
      <c r="G259" s="47"/>
      <c r="H259" s="80"/>
      <c r="I259" s="80"/>
      <c r="J259" s="86"/>
      <c r="K259" s="86"/>
      <c r="L259" s="86"/>
      <c r="M259" s="86"/>
      <c r="N259" s="86"/>
      <c r="O259" s="86"/>
      <c r="P259" s="86"/>
      <c r="Q259" s="79"/>
      <c r="R259" s="79"/>
      <c r="S259" s="79"/>
      <c r="T259" s="50"/>
      <c r="U259" s="51"/>
      <c r="V259" s="51"/>
      <c r="W259" s="45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</row>
    <row r="260" spans="1:48" ht="13.5" customHeight="1">
      <c r="A260" s="60"/>
      <c r="B260" s="47"/>
      <c r="C260" s="47"/>
      <c r="D260" s="47"/>
      <c r="E260" s="47"/>
      <c r="F260" s="47"/>
      <c r="G260" s="47"/>
      <c r="H260" s="80"/>
      <c r="I260" s="80"/>
      <c r="J260" s="86"/>
      <c r="K260" s="86"/>
      <c r="L260" s="86"/>
      <c r="M260" s="86"/>
      <c r="N260" s="86"/>
      <c r="O260" s="86"/>
      <c r="P260" s="86"/>
      <c r="Q260" s="79"/>
      <c r="R260" s="79"/>
      <c r="S260" s="79"/>
      <c r="T260" s="50"/>
      <c r="U260" s="51"/>
      <c r="V260" s="51"/>
      <c r="W260" s="45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</row>
    <row r="261" spans="1:48" ht="13.5" customHeight="1">
      <c r="A261" s="60"/>
      <c r="B261" s="47"/>
      <c r="C261" s="47"/>
      <c r="D261" s="47"/>
      <c r="E261" s="47"/>
      <c r="F261" s="47"/>
      <c r="G261" s="47"/>
      <c r="H261" s="80"/>
      <c r="I261" s="80"/>
      <c r="J261" s="86"/>
      <c r="K261" s="86"/>
      <c r="L261" s="86"/>
      <c r="M261" s="86"/>
      <c r="N261" s="86"/>
      <c r="O261" s="86"/>
      <c r="P261" s="86"/>
      <c r="Q261" s="79"/>
      <c r="R261" s="79"/>
      <c r="S261" s="79"/>
      <c r="T261" s="50"/>
      <c r="U261" s="51"/>
      <c r="V261" s="51"/>
      <c r="W261" s="45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</row>
    <row r="262" spans="1:48" ht="13.5" customHeight="1">
      <c r="A262" s="49"/>
      <c r="B262" s="47"/>
      <c r="C262" s="47"/>
      <c r="D262" s="47"/>
      <c r="E262" s="47"/>
      <c r="F262" s="47"/>
      <c r="G262" s="47"/>
      <c r="H262" s="80"/>
      <c r="I262" s="80"/>
      <c r="J262" s="86"/>
      <c r="K262" s="86"/>
      <c r="L262" s="86"/>
      <c r="M262" s="86"/>
      <c r="N262" s="86"/>
      <c r="O262" s="86"/>
      <c r="P262" s="86"/>
      <c r="Q262" s="79"/>
      <c r="R262" s="79"/>
      <c r="S262" s="79"/>
      <c r="T262" s="50"/>
      <c r="U262" s="51"/>
      <c r="V262" s="51"/>
      <c r="W262" s="45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</row>
    <row r="263" spans="1:48" ht="13.5" customHeight="1">
      <c r="A263" s="49"/>
      <c r="B263" s="47"/>
      <c r="C263" s="47"/>
      <c r="D263" s="47"/>
      <c r="E263" s="47"/>
      <c r="F263" s="47"/>
      <c r="G263" s="47"/>
      <c r="H263" s="47"/>
      <c r="I263" s="80"/>
      <c r="J263" s="86"/>
      <c r="K263" s="86"/>
      <c r="L263" s="86"/>
      <c r="M263" s="86"/>
      <c r="N263" s="86"/>
      <c r="O263" s="86"/>
      <c r="P263" s="86"/>
      <c r="Q263" s="79"/>
      <c r="R263" s="79"/>
      <c r="S263" s="79"/>
      <c r="T263" s="50"/>
      <c r="U263" s="51"/>
      <c r="V263" s="51"/>
      <c r="W263" s="45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</row>
    <row r="264" spans="1:48" ht="13.5" customHeight="1">
      <c r="A264" s="62"/>
      <c r="B264" s="47"/>
      <c r="C264" s="47"/>
      <c r="D264" s="47"/>
      <c r="E264" s="47"/>
      <c r="F264" s="47"/>
      <c r="G264" s="47"/>
      <c r="H264" s="47"/>
      <c r="I264" s="80"/>
      <c r="J264" s="86"/>
      <c r="K264" s="86"/>
      <c r="L264" s="86"/>
      <c r="M264" s="86"/>
      <c r="N264" s="86"/>
      <c r="O264" s="86"/>
      <c r="P264" s="86"/>
      <c r="Q264" s="79"/>
      <c r="R264" s="79"/>
      <c r="S264" s="79"/>
      <c r="T264" s="50"/>
      <c r="U264" s="51"/>
      <c r="V264" s="51"/>
      <c r="W264" s="45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</row>
    <row r="265" spans="1:48" ht="13.5" customHeight="1">
      <c r="A265" s="64" t="s">
        <v>41</v>
      </c>
      <c r="B265" s="47"/>
      <c r="C265" s="47"/>
      <c r="D265" s="47"/>
      <c r="E265" s="47"/>
      <c r="F265" s="47"/>
      <c r="G265" s="47"/>
      <c r="H265" s="47"/>
      <c r="I265" s="80"/>
      <c r="J265" s="86"/>
      <c r="K265" s="86"/>
      <c r="L265" s="86"/>
      <c r="M265" s="86"/>
      <c r="N265" s="86"/>
      <c r="O265" s="86"/>
      <c r="P265" s="86">
        <v>1</v>
      </c>
      <c r="Q265" s="79"/>
      <c r="R265" s="79"/>
      <c r="S265" s="79"/>
      <c r="T265" s="50">
        <f t="shared" si="23"/>
        <v>1</v>
      </c>
      <c r="U265" s="51"/>
      <c r="V265" s="51">
        <f t="shared" si="24"/>
        <v>1</v>
      </c>
      <c r="W265" s="45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</row>
    <row r="266" spans="1:48" ht="13.5" customHeight="1">
      <c r="A266" s="64"/>
      <c r="B266" s="47"/>
      <c r="C266" s="47"/>
      <c r="D266" s="47"/>
      <c r="E266" s="47"/>
      <c r="F266" s="47"/>
      <c r="G266" s="47"/>
      <c r="H266" s="47"/>
      <c r="I266" s="80"/>
      <c r="J266" s="86"/>
      <c r="K266" s="86"/>
      <c r="L266" s="86"/>
      <c r="M266" s="86"/>
      <c r="N266" s="86"/>
      <c r="O266" s="86"/>
      <c r="P266" s="86"/>
      <c r="Q266" s="79"/>
      <c r="R266" s="79"/>
      <c r="S266" s="79"/>
      <c r="T266" s="50"/>
      <c r="U266" s="51"/>
      <c r="V266" s="51"/>
      <c r="W266" s="45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</row>
    <row r="267" spans="1:48" ht="13.5" customHeight="1">
      <c r="A267" s="64"/>
      <c r="B267" s="47"/>
      <c r="C267" s="47"/>
      <c r="D267" s="47"/>
      <c r="E267" s="47"/>
      <c r="F267" s="47"/>
      <c r="G267" s="47"/>
      <c r="H267" s="47"/>
      <c r="I267" s="47"/>
      <c r="J267" s="86"/>
      <c r="K267" s="86"/>
      <c r="L267" s="86"/>
      <c r="M267" s="86"/>
      <c r="N267" s="86"/>
      <c r="O267" s="86"/>
      <c r="P267" s="86"/>
      <c r="Q267" s="79"/>
      <c r="R267" s="79"/>
      <c r="S267" s="79"/>
      <c r="T267" s="50"/>
      <c r="U267" s="51"/>
      <c r="V267" s="51"/>
      <c r="W267" s="45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</row>
    <row r="268" spans="1:48" ht="13.5" customHeight="1">
      <c r="A268" s="64"/>
      <c r="B268" s="86"/>
      <c r="C268" s="86"/>
      <c r="D268" s="86"/>
      <c r="E268" s="86"/>
      <c r="F268" s="86"/>
      <c r="G268" s="87"/>
      <c r="H268" s="86"/>
      <c r="I268" s="86"/>
      <c r="J268" s="86"/>
      <c r="K268" s="86"/>
      <c r="L268" s="86"/>
      <c r="M268" s="86"/>
      <c r="N268" s="86"/>
      <c r="O268" s="86"/>
      <c r="P268" s="86"/>
      <c r="Q268" s="79"/>
      <c r="R268" s="79"/>
      <c r="S268" s="79"/>
      <c r="T268" s="50"/>
      <c r="U268" s="51"/>
      <c r="V268" s="51"/>
      <c r="W268" s="45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</row>
    <row r="269" spans="1:48" ht="13.5" customHeight="1">
      <c r="A269" s="64"/>
      <c r="B269" s="86"/>
      <c r="C269" s="86"/>
      <c r="D269" s="86"/>
      <c r="E269" s="86"/>
      <c r="F269" s="86"/>
      <c r="G269" s="87"/>
      <c r="H269" s="86"/>
      <c r="I269" s="86"/>
      <c r="J269" s="86"/>
      <c r="K269" s="86"/>
      <c r="L269" s="86"/>
      <c r="M269" s="86"/>
      <c r="N269" s="86"/>
      <c r="O269" s="86"/>
      <c r="P269" s="86"/>
      <c r="Q269" s="79"/>
      <c r="R269" s="79"/>
      <c r="S269" s="79"/>
      <c r="T269" s="50"/>
      <c r="U269" s="51"/>
      <c r="V269" s="51"/>
      <c r="W269" s="45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</row>
    <row r="270" spans="1:48" ht="13.5" customHeight="1">
      <c r="A270" s="64"/>
      <c r="B270" s="86"/>
      <c r="C270" s="86"/>
      <c r="D270" s="86"/>
      <c r="E270" s="86"/>
      <c r="F270" s="86"/>
      <c r="G270" s="87"/>
      <c r="H270" s="86"/>
      <c r="I270" s="86"/>
      <c r="J270" s="86"/>
      <c r="K270" s="86"/>
      <c r="L270" s="86"/>
      <c r="M270" s="86"/>
      <c r="N270" s="86"/>
      <c r="O270" s="86"/>
      <c r="P270" s="86"/>
      <c r="Q270" s="79"/>
      <c r="R270" s="79"/>
      <c r="S270" s="79"/>
      <c r="T270" s="50"/>
      <c r="U270" s="51"/>
      <c r="V270" s="51"/>
      <c r="W270" s="45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</row>
    <row r="271" spans="1:48" ht="13.5" customHeight="1">
      <c r="A271" s="64"/>
      <c r="B271" s="86"/>
      <c r="C271" s="86"/>
      <c r="D271" s="86"/>
      <c r="E271" s="86"/>
      <c r="F271" s="86"/>
      <c r="G271" s="87"/>
      <c r="H271" s="86"/>
      <c r="I271" s="86"/>
      <c r="J271" s="86"/>
      <c r="K271" s="86"/>
      <c r="L271" s="86"/>
      <c r="M271" s="86"/>
      <c r="N271" s="86"/>
      <c r="O271" s="86"/>
      <c r="P271" s="86"/>
      <c r="Q271" s="79"/>
      <c r="R271" s="79"/>
      <c r="S271" s="79"/>
      <c r="T271" s="50"/>
      <c r="U271" s="51"/>
      <c r="V271" s="51"/>
      <c r="W271" s="45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</row>
    <row r="272" spans="1:48" ht="13.5" customHeight="1">
      <c r="A272" s="64"/>
      <c r="B272" s="86"/>
      <c r="C272" s="86"/>
      <c r="D272" s="86"/>
      <c r="E272" s="86"/>
      <c r="F272" s="86"/>
      <c r="G272" s="88"/>
      <c r="H272" s="86"/>
      <c r="I272" s="86"/>
      <c r="J272" s="86"/>
      <c r="K272" s="86"/>
      <c r="L272" s="86"/>
      <c r="M272" s="86"/>
      <c r="N272" s="86"/>
      <c r="O272" s="86"/>
      <c r="P272" s="86"/>
      <c r="Q272" s="79"/>
      <c r="R272" s="79"/>
      <c r="S272" s="79"/>
      <c r="T272" s="50"/>
      <c r="U272" s="51"/>
      <c r="V272" s="51"/>
      <c r="W272" s="45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</row>
    <row r="273" spans="1:48" ht="13.5" customHeight="1">
      <c r="A273" s="65"/>
      <c r="B273" s="86"/>
      <c r="C273" s="86"/>
      <c r="D273" s="86"/>
      <c r="E273" s="86"/>
      <c r="F273" s="86"/>
      <c r="G273" s="89"/>
      <c r="H273" s="86"/>
      <c r="I273" s="86"/>
      <c r="J273" s="86"/>
      <c r="K273" s="86"/>
      <c r="L273" s="86"/>
      <c r="M273" s="86"/>
      <c r="N273" s="86"/>
      <c r="O273" s="86"/>
      <c r="P273" s="86"/>
      <c r="Q273" s="79"/>
      <c r="R273" s="79"/>
      <c r="S273" s="79"/>
      <c r="T273" s="50"/>
      <c r="U273" s="51"/>
      <c r="V273" s="51"/>
      <c r="W273" s="45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</row>
    <row r="274" spans="1:48" ht="13.5" customHeight="1">
      <c r="A274" s="65"/>
      <c r="B274" s="86"/>
      <c r="C274" s="86"/>
      <c r="D274" s="86"/>
      <c r="E274" s="86"/>
      <c r="F274" s="86"/>
      <c r="G274" s="89"/>
      <c r="H274" s="86"/>
      <c r="I274" s="86"/>
      <c r="J274" s="86"/>
      <c r="K274" s="86"/>
      <c r="L274" s="86"/>
      <c r="M274" s="86"/>
      <c r="N274" s="86"/>
      <c r="O274" s="86"/>
      <c r="P274" s="86"/>
      <c r="Q274" s="79"/>
      <c r="R274" s="79"/>
      <c r="S274" s="79"/>
      <c r="T274" s="50"/>
      <c r="U274" s="51"/>
      <c r="V274" s="51"/>
      <c r="W274" s="45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</row>
    <row r="275" spans="1:48" ht="13.5" customHeight="1">
      <c r="A275" s="49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50"/>
      <c r="U275" s="51"/>
      <c r="V275" s="51"/>
      <c r="W275" s="45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</row>
    <row r="276" spans="1:48" ht="13.5" customHeight="1">
      <c r="A276" s="49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50"/>
      <c r="U276" s="51"/>
      <c r="V276" s="51"/>
      <c r="W276" s="45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</row>
    <row r="277" spans="1:48" ht="13.5" customHeight="1">
      <c r="A277" s="49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50"/>
      <c r="U277" s="51"/>
      <c r="V277" s="51"/>
      <c r="W277" s="45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</row>
    <row r="278" spans="1:48" ht="13.5" customHeight="1">
      <c r="A278" s="49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50"/>
      <c r="U278" s="51"/>
      <c r="V278" s="51"/>
      <c r="W278" s="45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</row>
    <row r="279" spans="1:48" ht="13.5" customHeight="1">
      <c r="A279" s="49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50"/>
      <c r="U279" s="51"/>
      <c r="V279" s="51"/>
      <c r="W279" s="45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</row>
    <row r="280" spans="1:48" ht="13.5" customHeight="1">
      <c r="A280" s="49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50"/>
      <c r="U280" s="51"/>
      <c r="V280" s="51"/>
      <c r="W280" s="45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</row>
    <row r="281" spans="1:48" ht="13.5" customHeight="1">
      <c r="A281" s="49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50"/>
      <c r="U281" s="51"/>
      <c r="V281" s="51"/>
      <c r="W281" s="45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</row>
    <row r="282" spans="1:48" ht="13.5" customHeight="1">
      <c r="A282" s="49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50"/>
      <c r="U282" s="51"/>
      <c r="V282" s="51"/>
      <c r="W282" s="45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</row>
    <row r="283" spans="1:48" ht="13.5" customHeight="1">
      <c r="A283" s="49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50"/>
      <c r="U283" s="51"/>
      <c r="V283" s="51"/>
      <c r="W283" s="45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</row>
    <row r="284" spans="1:48" ht="13.5" customHeight="1">
      <c r="A284" s="49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50"/>
      <c r="U284" s="51"/>
      <c r="V284" s="51"/>
      <c r="W284" s="45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</row>
    <row r="285" spans="1:48" ht="13.5" customHeight="1">
      <c r="A285" s="49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50"/>
      <c r="U285" s="51"/>
      <c r="V285" s="51"/>
      <c r="W285" s="45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</row>
    <row r="286" spans="1:48" ht="13.5" customHeight="1">
      <c r="A286" s="49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50"/>
      <c r="U286" s="51"/>
      <c r="V286" s="51"/>
      <c r="W286" s="45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</row>
    <row r="287" spans="1:48" ht="13.5" customHeight="1">
      <c r="A287" s="49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50"/>
      <c r="U287" s="51"/>
      <c r="V287" s="51"/>
      <c r="W287" s="45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</row>
    <row r="288" spans="1:48" ht="13.5" customHeight="1">
      <c r="A288" s="49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50"/>
      <c r="U288" s="51"/>
      <c r="V288" s="51"/>
      <c r="W288" s="45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</row>
    <row r="289" spans="1:48" ht="13.5" customHeight="1">
      <c r="A289" s="49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50"/>
      <c r="U289" s="51"/>
      <c r="V289" s="51"/>
      <c r="W289" s="45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</row>
    <row r="290" spans="1:48" ht="13.5" customHeight="1">
      <c r="A290" s="49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50"/>
      <c r="U290" s="51"/>
      <c r="V290" s="51"/>
      <c r="W290" s="45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</row>
    <row r="291" spans="1:48" ht="13.5" customHeight="1">
      <c r="A291" s="49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50"/>
      <c r="U291" s="51"/>
      <c r="V291" s="51"/>
      <c r="W291" s="45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</row>
    <row r="292" spans="1:48" ht="13.5" customHeight="1">
      <c r="A292" s="49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50"/>
      <c r="U292" s="51"/>
      <c r="V292" s="51"/>
      <c r="W292" s="45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</row>
    <row r="293" spans="1:48" ht="13.5" customHeight="1">
      <c r="A293" s="49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50"/>
      <c r="U293" s="51"/>
      <c r="V293" s="51"/>
      <c r="W293" s="45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</row>
    <row r="294" spans="1:48" ht="13.5" customHeight="1">
      <c r="A294" s="49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50"/>
      <c r="U294" s="51"/>
      <c r="V294" s="51"/>
      <c r="W294" s="45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</row>
    <row r="295" spans="1:48" ht="13.5" customHeight="1">
      <c r="A295" s="90"/>
      <c r="B295" s="127" t="s">
        <v>5</v>
      </c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91"/>
      <c r="V295" s="92"/>
      <c r="W295" s="45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</row>
    <row r="296" spans="1:48" ht="13.5" customHeight="1">
      <c r="A296" s="128" t="s">
        <v>46</v>
      </c>
      <c r="B296" s="47">
        <f t="shared" ref="B296:R296" si="25">B2</f>
        <v>28</v>
      </c>
      <c r="C296" s="47">
        <f t="shared" si="25"/>
        <v>29</v>
      </c>
      <c r="D296" s="47">
        <f t="shared" si="25"/>
        <v>30</v>
      </c>
      <c r="E296" s="47">
        <f t="shared" si="25"/>
        <v>31</v>
      </c>
      <c r="F296" s="47">
        <f t="shared" si="25"/>
        <v>1</v>
      </c>
      <c r="G296" s="47">
        <f t="shared" si="25"/>
        <v>2</v>
      </c>
      <c r="H296" s="47">
        <f t="shared" si="25"/>
        <v>3</v>
      </c>
      <c r="I296" s="47">
        <f t="shared" si="25"/>
        <v>4</v>
      </c>
      <c r="J296" s="47">
        <f t="shared" si="25"/>
        <v>5</v>
      </c>
      <c r="K296" s="47">
        <f t="shared" si="25"/>
        <v>6</v>
      </c>
      <c r="L296" s="47">
        <f t="shared" si="25"/>
        <v>7</v>
      </c>
      <c r="M296" s="47">
        <f t="shared" si="25"/>
        <v>8</v>
      </c>
      <c r="N296" s="47">
        <f t="shared" si="25"/>
        <v>9</v>
      </c>
      <c r="O296" s="47">
        <f t="shared" si="25"/>
        <v>10</v>
      </c>
      <c r="P296" s="47">
        <f t="shared" si="25"/>
        <v>11</v>
      </c>
      <c r="Q296" s="47">
        <f t="shared" si="25"/>
        <v>12</v>
      </c>
      <c r="R296" s="47">
        <f t="shared" si="25"/>
        <v>0</v>
      </c>
      <c r="S296" s="47"/>
      <c r="T296" s="125" t="s">
        <v>47</v>
      </c>
      <c r="U296" s="126" t="s">
        <v>59</v>
      </c>
      <c r="V296" s="125" t="s">
        <v>47</v>
      </c>
      <c r="W296" s="45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</row>
    <row r="297" spans="1:48" ht="13.5" customHeight="1">
      <c r="A297" s="115"/>
      <c r="B297" s="66" t="str">
        <f t="shared" ref="B297:R297" si="26">B3</f>
        <v>Sat</v>
      </c>
      <c r="C297" s="66" t="str">
        <f t="shared" si="26"/>
        <v>Sun</v>
      </c>
      <c r="D297" s="66" t="str">
        <f t="shared" si="26"/>
        <v>Mon</v>
      </c>
      <c r="E297" s="66" t="str">
        <f t="shared" si="26"/>
        <v>Tue</v>
      </c>
      <c r="F297" s="66" t="str">
        <f t="shared" si="26"/>
        <v>Wed</v>
      </c>
      <c r="G297" s="66" t="str">
        <f t="shared" si="26"/>
        <v>Thu</v>
      </c>
      <c r="H297" s="66" t="str">
        <f t="shared" si="26"/>
        <v>Fri</v>
      </c>
      <c r="I297" s="66" t="str">
        <f t="shared" si="26"/>
        <v>Sat</v>
      </c>
      <c r="J297" s="66" t="str">
        <f t="shared" si="26"/>
        <v>Sun</v>
      </c>
      <c r="K297" s="66" t="str">
        <f t="shared" si="26"/>
        <v>Mon</v>
      </c>
      <c r="L297" s="66" t="str">
        <f t="shared" si="26"/>
        <v>Tue</v>
      </c>
      <c r="M297" s="66" t="str">
        <f t="shared" si="26"/>
        <v>Wed</v>
      </c>
      <c r="N297" s="66" t="str">
        <f t="shared" si="26"/>
        <v>Thu</v>
      </c>
      <c r="O297" s="66" t="str">
        <f t="shared" si="26"/>
        <v>Fri</v>
      </c>
      <c r="P297" s="66" t="str">
        <f t="shared" si="26"/>
        <v>Sat</v>
      </c>
      <c r="Q297" s="66" t="str">
        <f t="shared" si="26"/>
        <v>Sun</v>
      </c>
      <c r="R297" s="66">
        <f t="shared" si="26"/>
        <v>0</v>
      </c>
      <c r="S297" s="67"/>
      <c r="T297" s="112"/>
      <c r="U297" s="112"/>
      <c r="V297" s="112"/>
      <c r="W297" s="45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</row>
    <row r="298" spans="1:48" ht="13.5" customHeight="1">
      <c r="A298" s="49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47"/>
      <c r="R298" s="93"/>
      <c r="S298" s="93"/>
      <c r="T298" s="94"/>
      <c r="U298" s="95"/>
      <c r="V298" s="95"/>
      <c r="W298" s="45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</row>
    <row r="299" spans="1:48" ht="13.5" customHeight="1">
      <c r="A299" s="52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4"/>
      <c r="U299" s="95"/>
      <c r="V299" s="95"/>
      <c r="W299" s="45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</row>
    <row r="300" spans="1:48" ht="13.5" customHeight="1">
      <c r="A300" s="49" t="s">
        <v>39</v>
      </c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4">
        <f t="shared" ref="T298:T336" si="27">SUM(B300:S300)</f>
        <v>0</v>
      </c>
      <c r="U300" s="95"/>
      <c r="V300" s="95">
        <f t="shared" ref="V298:V336" si="28">T300+U300</f>
        <v>0</v>
      </c>
      <c r="W300" s="45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</row>
    <row r="301" spans="1:48" ht="13.5" customHeight="1">
      <c r="A301" s="52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4"/>
      <c r="U301" s="95"/>
      <c r="V301" s="95"/>
      <c r="W301" s="45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</row>
    <row r="302" spans="1:48" ht="13.5" customHeight="1">
      <c r="A302" s="96"/>
      <c r="B302" s="97"/>
      <c r="C302" s="97"/>
      <c r="D302" s="97"/>
      <c r="E302" s="86"/>
      <c r="F302" s="86"/>
      <c r="G302" s="86"/>
      <c r="H302" s="86"/>
      <c r="I302" s="86"/>
      <c r="J302" s="86"/>
      <c r="K302" s="86"/>
      <c r="L302" s="97"/>
      <c r="M302" s="86"/>
      <c r="N302" s="97"/>
      <c r="O302" s="86"/>
      <c r="P302" s="86"/>
      <c r="Q302" s="79"/>
      <c r="R302" s="98"/>
      <c r="S302" s="93"/>
      <c r="T302" s="94"/>
      <c r="U302" s="95"/>
      <c r="V302" s="95"/>
      <c r="W302" s="45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</row>
    <row r="303" spans="1:48" ht="13.5" customHeight="1">
      <c r="A303" s="99"/>
      <c r="B303" s="97"/>
      <c r="C303" s="97"/>
      <c r="D303" s="97"/>
      <c r="E303" s="86"/>
      <c r="F303" s="86"/>
      <c r="G303" s="86"/>
      <c r="H303" s="86"/>
      <c r="I303" s="86"/>
      <c r="J303" s="86"/>
      <c r="K303" s="86"/>
      <c r="L303" s="97"/>
      <c r="M303" s="86"/>
      <c r="N303" s="97"/>
      <c r="O303" s="86"/>
      <c r="P303" s="86"/>
      <c r="Q303" s="93"/>
      <c r="R303" s="93"/>
      <c r="S303" s="93"/>
      <c r="T303" s="94"/>
      <c r="U303" s="95"/>
      <c r="V303" s="95"/>
      <c r="W303" s="45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</row>
    <row r="304" spans="1:48" ht="13.5" customHeight="1">
      <c r="A304" s="100"/>
      <c r="B304" s="97"/>
      <c r="C304" s="97"/>
      <c r="D304" s="97"/>
      <c r="E304" s="86"/>
      <c r="F304" s="86"/>
      <c r="G304" s="86"/>
      <c r="H304" s="86"/>
      <c r="I304" s="86"/>
      <c r="J304" s="86"/>
      <c r="K304" s="86"/>
      <c r="L304" s="97"/>
      <c r="M304" s="86"/>
      <c r="N304" s="97"/>
      <c r="O304" s="86"/>
      <c r="P304" s="86"/>
      <c r="Q304" s="93"/>
      <c r="R304" s="93"/>
      <c r="S304" s="93"/>
      <c r="T304" s="94"/>
      <c r="U304" s="95"/>
      <c r="V304" s="95"/>
      <c r="W304" s="45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</row>
    <row r="305" spans="1:48" ht="13.5" customHeight="1">
      <c r="A305" s="49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97"/>
      <c r="M305" s="86"/>
      <c r="N305" s="97"/>
      <c r="O305" s="86"/>
      <c r="P305" s="86"/>
      <c r="Q305" s="47"/>
      <c r="R305" s="47"/>
      <c r="S305" s="47"/>
      <c r="T305" s="94"/>
      <c r="U305" s="51"/>
      <c r="V305" s="95"/>
      <c r="W305" s="45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</row>
    <row r="306" spans="1:48" ht="13.5" customHeight="1">
      <c r="A306" s="62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97"/>
      <c r="M306" s="86"/>
      <c r="N306" s="97"/>
      <c r="O306" s="86"/>
      <c r="P306" s="86"/>
      <c r="Q306" s="47"/>
      <c r="R306" s="47"/>
      <c r="S306" s="47"/>
      <c r="T306" s="94"/>
      <c r="U306" s="51"/>
      <c r="V306" s="95"/>
      <c r="W306" s="45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</row>
    <row r="307" spans="1:48" ht="13.5" customHeight="1">
      <c r="A307" s="57" t="s">
        <v>41</v>
      </c>
      <c r="B307" s="86"/>
      <c r="C307" s="86"/>
      <c r="D307" s="86"/>
      <c r="E307" s="86"/>
      <c r="F307" s="86"/>
      <c r="G307" s="86"/>
      <c r="H307" s="86"/>
      <c r="I307" s="79"/>
      <c r="J307" s="79"/>
      <c r="K307" s="79"/>
      <c r="L307" s="101">
        <v>0.5</v>
      </c>
      <c r="M307" s="79"/>
      <c r="N307" s="101"/>
      <c r="O307" s="79"/>
      <c r="P307" s="79"/>
      <c r="Q307" s="47"/>
      <c r="R307" s="47"/>
      <c r="S307" s="47"/>
      <c r="T307" s="94">
        <f t="shared" si="27"/>
        <v>0.5</v>
      </c>
      <c r="U307" s="51"/>
      <c r="V307" s="95">
        <f t="shared" si="28"/>
        <v>0.5</v>
      </c>
      <c r="W307" s="45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</row>
    <row r="308" spans="1:48" ht="13.5" customHeight="1">
      <c r="A308" s="64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97"/>
      <c r="M308" s="86"/>
      <c r="N308" s="97"/>
      <c r="O308" s="86"/>
      <c r="P308" s="86"/>
      <c r="Q308" s="47"/>
      <c r="R308" s="47"/>
      <c r="S308" s="47"/>
      <c r="T308" s="94"/>
      <c r="U308" s="51"/>
      <c r="V308" s="95"/>
      <c r="W308" s="45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</row>
    <row r="309" spans="1:48" ht="13.5" customHeight="1">
      <c r="A309" s="64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97"/>
      <c r="M309" s="86"/>
      <c r="N309" s="97"/>
      <c r="O309" s="86"/>
      <c r="P309" s="86"/>
      <c r="Q309" s="47"/>
      <c r="R309" s="47"/>
      <c r="S309" s="47"/>
      <c r="T309" s="94"/>
      <c r="U309" s="51"/>
      <c r="V309" s="95"/>
      <c r="W309" s="45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</row>
    <row r="310" spans="1:48" ht="13.5" customHeight="1">
      <c r="A310" s="64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97"/>
      <c r="M310" s="86"/>
      <c r="N310" s="97"/>
      <c r="O310" s="86"/>
      <c r="P310" s="86"/>
      <c r="Q310" s="47"/>
      <c r="R310" s="47"/>
      <c r="S310" s="47"/>
      <c r="T310" s="94"/>
      <c r="U310" s="51"/>
      <c r="V310" s="95"/>
      <c r="W310" s="45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</row>
    <row r="311" spans="1:48" ht="13.5" customHeight="1">
      <c r="A311" s="64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97"/>
      <c r="M311" s="86"/>
      <c r="N311" s="97"/>
      <c r="O311" s="86"/>
      <c r="P311" s="86"/>
      <c r="Q311" s="47"/>
      <c r="R311" s="47"/>
      <c r="S311" s="47"/>
      <c r="T311" s="94"/>
      <c r="U311" s="51"/>
      <c r="V311" s="95"/>
      <c r="W311" s="45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</row>
    <row r="312" spans="1:48" ht="13.5" customHeight="1">
      <c r="A312" s="64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97"/>
      <c r="M312" s="86"/>
      <c r="N312" s="97"/>
      <c r="O312" s="86"/>
      <c r="P312" s="86"/>
      <c r="Q312" s="47"/>
      <c r="R312" s="47"/>
      <c r="S312" s="47"/>
      <c r="T312" s="94"/>
      <c r="U312" s="51"/>
      <c r="V312" s="95"/>
      <c r="W312" s="45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</row>
    <row r="313" spans="1:48" ht="13.5" customHeight="1">
      <c r="A313" s="64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97"/>
      <c r="M313" s="86"/>
      <c r="N313" s="97"/>
      <c r="O313" s="86"/>
      <c r="P313" s="86"/>
      <c r="Q313" s="47"/>
      <c r="R313" s="47"/>
      <c r="S313" s="47"/>
      <c r="T313" s="94"/>
      <c r="U313" s="51"/>
      <c r="V313" s="95"/>
      <c r="W313" s="45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</row>
    <row r="314" spans="1:48" ht="13.5" customHeight="1">
      <c r="A314" s="102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94"/>
      <c r="U314" s="51"/>
      <c r="V314" s="95"/>
      <c r="W314" s="45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</row>
    <row r="315" spans="1:48" ht="13.5" customHeight="1">
      <c r="A315" s="65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94"/>
      <c r="U315" s="51"/>
      <c r="V315" s="95"/>
      <c r="W315" s="45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</row>
    <row r="316" spans="1:48" ht="13.5" customHeight="1">
      <c r="A316" s="65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94"/>
      <c r="U316" s="51"/>
      <c r="V316" s="95"/>
      <c r="W316" s="45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</row>
    <row r="317" spans="1:48" ht="13.5" customHeight="1">
      <c r="A317" s="49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94"/>
      <c r="U317" s="51"/>
      <c r="V317" s="95"/>
      <c r="W317" s="45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</row>
    <row r="318" spans="1:48" ht="13.5" customHeight="1">
      <c r="A318" s="49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94"/>
      <c r="U318" s="51"/>
      <c r="V318" s="95"/>
      <c r="W318" s="45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</row>
    <row r="319" spans="1:48" ht="13.5" customHeight="1">
      <c r="A319" s="49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94"/>
      <c r="U319" s="51"/>
      <c r="V319" s="95"/>
      <c r="W319" s="45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</row>
    <row r="320" spans="1:48" ht="13.5" customHeight="1">
      <c r="A320" s="49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94"/>
      <c r="U320" s="51"/>
      <c r="V320" s="95"/>
      <c r="W320" s="45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</row>
    <row r="321" spans="1:48" ht="13.5" customHeight="1">
      <c r="A321" s="49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94"/>
      <c r="U321" s="51"/>
      <c r="V321" s="95"/>
      <c r="W321" s="45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</row>
    <row r="322" spans="1:48" ht="13.5" customHeight="1">
      <c r="A322" s="49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94"/>
      <c r="U322" s="51"/>
      <c r="V322" s="95"/>
      <c r="W322" s="45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</row>
    <row r="323" spans="1:48" ht="13.5" customHeight="1">
      <c r="A323" s="49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94"/>
      <c r="U323" s="51"/>
      <c r="V323" s="95"/>
      <c r="W323" s="45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</row>
    <row r="324" spans="1:48" ht="13.5" customHeight="1">
      <c r="A324" s="49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94"/>
      <c r="U324" s="51"/>
      <c r="V324" s="95"/>
      <c r="W324" s="45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</row>
    <row r="325" spans="1:48" ht="13.5" customHeight="1">
      <c r="A325" s="49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94"/>
      <c r="U325" s="51"/>
      <c r="V325" s="95"/>
      <c r="W325" s="45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</row>
    <row r="326" spans="1:48" ht="13.5" customHeight="1">
      <c r="A326" s="49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94"/>
      <c r="U326" s="51"/>
      <c r="V326" s="95"/>
      <c r="W326" s="45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</row>
    <row r="327" spans="1:48" ht="13.5" customHeight="1">
      <c r="A327" s="49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94"/>
      <c r="U327" s="51"/>
      <c r="V327" s="95"/>
      <c r="W327" s="45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</row>
    <row r="328" spans="1:48" ht="13.5" customHeight="1">
      <c r="A328" s="49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94"/>
      <c r="U328" s="51"/>
      <c r="V328" s="95"/>
      <c r="W328" s="45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</row>
    <row r="329" spans="1:48" ht="13.5" customHeight="1">
      <c r="A329" s="49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94"/>
      <c r="U329" s="51"/>
      <c r="V329" s="95"/>
      <c r="W329" s="45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</row>
    <row r="330" spans="1:48" ht="13.5" customHeight="1">
      <c r="A330" s="49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94"/>
      <c r="U330" s="51"/>
      <c r="V330" s="95"/>
      <c r="W330" s="45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</row>
    <row r="331" spans="1:48" ht="13.5" customHeight="1">
      <c r="A331" s="49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94"/>
      <c r="U331" s="51"/>
      <c r="V331" s="95"/>
      <c r="W331" s="45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</row>
    <row r="332" spans="1:48" ht="13.5" customHeight="1">
      <c r="A332" s="49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94"/>
      <c r="U332" s="51"/>
      <c r="V332" s="51"/>
      <c r="W332" s="45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</row>
    <row r="333" spans="1:48" ht="13.5" customHeight="1">
      <c r="A333" s="49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94"/>
      <c r="U333" s="51"/>
      <c r="V333" s="51"/>
      <c r="W333" s="45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</row>
    <row r="334" spans="1:48" ht="13.5" customHeight="1">
      <c r="A334" s="49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94"/>
      <c r="U334" s="51"/>
      <c r="V334" s="51"/>
      <c r="W334" s="45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</row>
    <row r="335" spans="1:48" ht="13.5" customHeight="1">
      <c r="A335" s="49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94"/>
      <c r="U335" s="51"/>
      <c r="V335" s="51"/>
      <c r="W335" s="45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</row>
    <row r="336" spans="1:48" ht="13.5" customHeight="1">
      <c r="A336" s="49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50"/>
      <c r="U336" s="51"/>
      <c r="V336" s="51"/>
      <c r="W336" s="45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</row>
    <row r="337" spans="1:48" ht="13.5" customHeight="1">
      <c r="A337" s="45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42"/>
      <c r="U337" s="43"/>
      <c r="V337" s="44"/>
      <c r="W337" s="45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</row>
    <row r="338" spans="1:48" ht="13.5" customHeight="1">
      <c r="A338" s="45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42"/>
      <c r="U338" s="43"/>
      <c r="V338" s="44"/>
      <c r="W338" s="45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</row>
    <row r="339" spans="1:48" ht="13.5" customHeight="1">
      <c r="A339" s="45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42"/>
      <c r="U339" s="43"/>
      <c r="V339" s="44"/>
      <c r="W339" s="45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</row>
    <row r="340" spans="1:48" ht="13.5" customHeight="1">
      <c r="A340" s="45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42"/>
      <c r="U340" s="43"/>
      <c r="V340" s="44"/>
      <c r="W340" s="45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</row>
    <row r="341" spans="1:48" ht="13.5" customHeight="1">
      <c r="A341" s="45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42"/>
      <c r="U341" s="43"/>
      <c r="V341" s="44"/>
      <c r="W341" s="45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</row>
    <row r="342" spans="1:48" ht="13.5" customHeight="1">
      <c r="A342" s="45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42"/>
      <c r="U342" s="43"/>
      <c r="V342" s="44"/>
      <c r="W342" s="45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</row>
    <row r="343" spans="1:48" ht="13.5" customHeight="1">
      <c r="A343" s="45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42"/>
      <c r="U343" s="43"/>
      <c r="V343" s="44"/>
      <c r="W343" s="45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</row>
    <row r="344" spans="1:48" ht="13.5" customHeight="1">
      <c r="A344" s="45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42"/>
      <c r="U344" s="43"/>
      <c r="V344" s="44"/>
      <c r="W344" s="45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</row>
    <row r="345" spans="1:48" ht="13.5" customHeight="1">
      <c r="A345" s="45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42"/>
      <c r="U345" s="43"/>
      <c r="V345" s="44"/>
      <c r="W345" s="45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</row>
    <row r="346" spans="1:48" ht="13.5" customHeight="1">
      <c r="A346" s="45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42"/>
      <c r="U346" s="43"/>
      <c r="V346" s="44"/>
      <c r="W346" s="45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</row>
    <row r="347" spans="1:48" ht="13.5" customHeight="1">
      <c r="A347" s="45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42"/>
      <c r="U347" s="43"/>
      <c r="V347" s="44"/>
      <c r="W347" s="45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</row>
    <row r="348" spans="1:48" ht="13.5" customHeight="1">
      <c r="A348" s="45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42"/>
      <c r="U348" s="43"/>
      <c r="V348" s="44"/>
      <c r="W348" s="45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</row>
    <row r="349" spans="1:48" ht="13.5" customHeight="1">
      <c r="A349" s="45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42"/>
      <c r="U349" s="43"/>
      <c r="V349" s="44"/>
      <c r="W349" s="45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</row>
    <row r="350" spans="1:48" ht="13.5" customHeight="1">
      <c r="A350" s="45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42"/>
      <c r="U350" s="43"/>
      <c r="V350" s="44"/>
      <c r="W350" s="45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</row>
    <row r="351" spans="1:48" ht="13.5" customHeight="1">
      <c r="A351" s="45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42"/>
      <c r="U351" s="43"/>
      <c r="V351" s="44"/>
      <c r="W351" s="45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</row>
    <row r="352" spans="1:48" ht="13.5" customHeight="1">
      <c r="A352" s="45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42"/>
      <c r="U352" s="43"/>
      <c r="V352" s="44"/>
      <c r="W352" s="45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</row>
    <row r="353" spans="1:48" ht="13.5" customHeight="1">
      <c r="A353" s="45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42"/>
      <c r="U353" s="43"/>
      <c r="V353" s="44"/>
      <c r="W353" s="45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</row>
    <row r="354" spans="1:48" ht="13.5" customHeight="1">
      <c r="A354" s="45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42"/>
      <c r="U354" s="43"/>
      <c r="V354" s="44"/>
      <c r="W354" s="45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</row>
    <row r="355" spans="1:48" ht="13.5" customHeight="1">
      <c r="A355" s="45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42"/>
      <c r="U355" s="43"/>
      <c r="V355" s="44"/>
      <c r="W355" s="45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</row>
    <row r="356" spans="1:48" ht="13.5" customHeight="1">
      <c r="A356" s="45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42"/>
      <c r="U356" s="43"/>
      <c r="V356" s="44"/>
      <c r="W356" s="45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</row>
    <row r="357" spans="1:48" ht="13.5" customHeight="1">
      <c r="A357" s="45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42"/>
      <c r="U357" s="43"/>
      <c r="V357" s="44"/>
      <c r="W357" s="45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</row>
    <row r="358" spans="1:48" ht="13.5" customHeight="1">
      <c r="A358" s="45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42"/>
      <c r="U358" s="43"/>
      <c r="V358" s="44"/>
      <c r="W358" s="45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</row>
    <row r="359" spans="1:48" ht="13.5" customHeight="1">
      <c r="A359" s="45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42"/>
      <c r="U359" s="43"/>
      <c r="V359" s="44"/>
      <c r="W359" s="45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</row>
    <row r="360" spans="1:48" ht="13.5" customHeight="1">
      <c r="A360" s="45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42"/>
      <c r="U360" s="43"/>
      <c r="V360" s="44"/>
      <c r="W360" s="45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</row>
    <row r="361" spans="1:48" ht="13.5" customHeight="1">
      <c r="A361" s="45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42"/>
      <c r="U361" s="43"/>
      <c r="V361" s="44"/>
      <c r="W361" s="45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</row>
    <row r="362" spans="1:48" ht="13.5" customHeight="1">
      <c r="A362" s="45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42"/>
      <c r="U362" s="43"/>
      <c r="V362" s="44"/>
      <c r="W362" s="45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</row>
    <row r="363" spans="1:48" ht="13.5" customHeight="1">
      <c r="A363" s="45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42"/>
      <c r="U363" s="43"/>
      <c r="V363" s="44"/>
      <c r="W363" s="45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</row>
    <row r="364" spans="1:48" ht="13.5" customHeight="1">
      <c r="A364" s="45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42"/>
      <c r="U364" s="43"/>
      <c r="V364" s="44"/>
      <c r="W364" s="45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</row>
    <row r="365" spans="1:48" ht="13.5" customHeight="1">
      <c r="A365" s="45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42"/>
      <c r="U365" s="43"/>
      <c r="V365" s="44"/>
      <c r="W365" s="45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</row>
    <row r="366" spans="1:48" ht="13.5" customHeight="1">
      <c r="A366" s="45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42"/>
      <c r="U366" s="43"/>
      <c r="V366" s="44"/>
      <c r="W366" s="45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</row>
    <row r="367" spans="1:48" ht="13.5" customHeight="1">
      <c r="A367" s="45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42"/>
      <c r="U367" s="43"/>
      <c r="V367" s="44"/>
      <c r="W367" s="45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</row>
    <row r="368" spans="1:48" ht="13.5" customHeight="1">
      <c r="A368" s="45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42"/>
      <c r="U368" s="43"/>
      <c r="V368" s="44"/>
      <c r="W368" s="45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</row>
    <row r="369" spans="1:48" ht="13.5" customHeight="1">
      <c r="A369" s="45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42"/>
      <c r="U369" s="43"/>
      <c r="V369" s="44"/>
      <c r="W369" s="45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</row>
    <row r="370" spans="1:48" ht="13.5" customHeight="1">
      <c r="A370" s="45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42"/>
      <c r="U370" s="43"/>
      <c r="V370" s="44"/>
      <c r="W370" s="45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</row>
    <row r="371" spans="1:48" ht="13.5" customHeight="1">
      <c r="A371" s="45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42"/>
      <c r="U371" s="43"/>
      <c r="V371" s="44"/>
      <c r="W371" s="45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</row>
    <row r="372" spans="1:48" ht="13.5" customHeight="1">
      <c r="A372" s="45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42"/>
      <c r="U372" s="43"/>
      <c r="V372" s="44"/>
      <c r="W372" s="45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</row>
    <row r="373" spans="1:48" ht="13.5" customHeight="1">
      <c r="A373" s="45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42"/>
      <c r="U373" s="43"/>
      <c r="V373" s="44"/>
      <c r="W373" s="45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</row>
    <row r="374" spans="1:48" ht="13.5" customHeight="1">
      <c r="A374" s="45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42"/>
      <c r="U374" s="43"/>
      <c r="V374" s="44"/>
      <c r="W374" s="45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</row>
    <row r="375" spans="1:48" ht="13.5" customHeight="1">
      <c r="A375" s="45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42"/>
      <c r="U375" s="43"/>
      <c r="V375" s="44"/>
      <c r="W375" s="45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</row>
    <row r="376" spans="1:48" ht="13.5" customHeight="1">
      <c r="A376" s="45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42"/>
      <c r="U376" s="43"/>
      <c r="V376" s="44"/>
      <c r="W376" s="45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</row>
    <row r="377" spans="1:48" ht="13.5" customHeight="1">
      <c r="A377" s="45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42"/>
      <c r="U377" s="43"/>
      <c r="V377" s="44"/>
      <c r="W377" s="45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</row>
    <row r="378" spans="1:48" ht="13.5" customHeight="1">
      <c r="A378" s="45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42"/>
      <c r="U378" s="43"/>
      <c r="V378" s="44"/>
      <c r="W378" s="45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</row>
    <row r="379" spans="1:48" ht="13.5" customHeight="1">
      <c r="A379" s="45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42"/>
      <c r="U379" s="43"/>
      <c r="V379" s="44"/>
      <c r="W379" s="45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</row>
    <row r="380" spans="1:48" ht="13.5" customHeight="1">
      <c r="A380" s="45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42"/>
      <c r="U380" s="43"/>
      <c r="V380" s="44"/>
      <c r="W380" s="45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</row>
    <row r="381" spans="1:48" ht="13.5" customHeight="1">
      <c r="A381" s="45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42"/>
      <c r="U381" s="43"/>
      <c r="V381" s="44"/>
      <c r="W381" s="45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</row>
    <row r="382" spans="1:48" ht="13.5" customHeight="1">
      <c r="A382" s="45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42"/>
      <c r="U382" s="43"/>
      <c r="V382" s="44"/>
      <c r="W382" s="45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</row>
    <row r="383" spans="1:48" ht="13.5" customHeight="1">
      <c r="A383" s="45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42"/>
      <c r="U383" s="43"/>
      <c r="V383" s="44"/>
      <c r="W383" s="45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</row>
    <row r="384" spans="1:48" ht="13.5" customHeight="1">
      <c r="A384" s="45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42"/>
      <c r="U384" s="43"/>
      <c r="V384" s="44"/>
      <c r="W384" s="45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</row>
    <row r="385" spans="1:48" ht="13.5" customHeight="1">
      <c r="A385" s="45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42"/>
      <c r="U385" s="43"/>
      <c r="V385" s="44"/>
      <c r="W385" s="45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</row>
    <row r="386" spans="1:48" ht="13.5" customHeight="1">
      <c r="A386" s="45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42"/>
      <c r="U386" s="43"/>
      <c r="V386" s="44"/>
      <c r="W386" s="45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</row>
    <row r="387" spans="1:48" ht="13.5" customHeight="1">
      <c r="A387" s="45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42"/>
      <c r="U387" s="43"/>
      <c r="V387" s="44"/>
      <c r="W387" s="45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</row>
    <row r="388" spans="1:48" ht="13.5" customHeight="1">
      <c r="A388" s="45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42"/>
      <c r="U388" s="43"/>
      <c r="V388" s="44"/>
      <c r="W388" s="45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</row>
    <row r="389" spans="1:48" ht="13.5" customHeight="1">
      <c r="A389" s="45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42"/>
      <c r="U389" s="43"/>
      <c r="V389" s="44"/>
      <c r="W389" s="45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</row>
    <row r="390" spans="1:48" ht="13.5" customHeight="1">
      <c r="A390" s="45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42"/>
      <c r="U390" s="43"/>
      <c r="V390" s="44"/>
      <c r="W390" s="45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</row>
    <row r="391" spans="1:48" ht="13.5" customHeight="1">
      <c r="A391" s="45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42"/>
      <c r="U391" s="43"/>
      <c r="V391" s="44"/>
      <c r="W391" s="45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</row>
    <row r="392" spans="1:48" ht="13.5" customHeight="1">
      <c r="A392" s="45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42"/>
      <c r="U392" s="43"/>
      <c r="V392" s="44"/>
      <c r="W392" s="45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</row>
    <row r="393" spans="1:48" ht="13.5" customHeight="1">
      <c r="A393" s="45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42"/>
      <c r="U393" s="43"/>
      <c r="V393" s="44"/>
      <c r="W393" s="45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</row>
    <row r="394" spans="1:48" ht="13.5" customHeight="1">
      <c r="A394" s="45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42"/>
      <c r="U394" s="43"/>
      <c r="V394" s="44"/>
      <c r="W394" s="45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</row>
    <row r="395" spans="1:48" ht="13.5" customHeight="1">
      <c r="A395" s="45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42"/>
      <c r="U395" s="43"/>
      <c r="V395" s="44"/>
      <c r="W395" s="45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</row>
    <row r="396" spans="1:48" ht="13.5" customHeight="1">
      <c r="A396" s="45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42"/>
      <c r="U396" s="43"/>
      <c r="V396" s="44"/>
      <c r="W396" s="45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</row>
    <row r="397" spans="1:48" ht="13.5" customHeight="1">
      <c r="A397" s="45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42"/>
      <c r="U397" s="43"/>
      <c r="V397" s="44"/>
      <c r="W397" s="45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</row>
    <row r="398" spans="1:48" ht="13.5" customHeight="1">
      <c r="A398" s="45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42"/>
      <c r="U398" s="43"/>
      <c r="V398" s="44"/>
      <c r="W398" s="45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</row>
    <row r="399" spans="1:48" ht="13.5" customHeight="1">
      <c r="A399" s="45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42"/>
      <c r="U399" s="43"/>
      <c r="V399" s="44"/>
      <c r="W399" s="45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</row>
    <row r="400" spans="1:48" ht="13.5" customHeight="1">
      <c r="A400" s="45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42"/>
      <c r="U400" s="43"/>
      <c r="V400" s="44"/>
      <c r="W400" s="45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</row>
    <row r="401" spans="1:48" ht="13.5" customHeight="1">
      <c r="A401" s="45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42"/>
      <c r="U401" s="43"/>
      <c r="V401" s="44"/>
      <c r="W401" s="45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</row>
    <row r="402" spans="1:48" ht="13.5" customHeight="1">
      <c r="A402" s="45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42"/>
      <c r="U402" s="43"/>
      <c r="V402" s="44"/>
      <c r="W402" s="45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</row>
    <row r="403" spans="1:48" ht="13.5" customHeight="1">
      <c r="A403" s="45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42"/>
      <c r="U403" s="43"/>
      <c r="V403" s="44"/>
      <c r="W403" s="45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</row>
    <row r="404" spans="1:48" ht="13.5" customHeight="1">
      <c r="A404" s="45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42"/>
      <c r="U404" s="43"/>
      <c r="V404" s="44"/>
      <c r="W404" s="45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</row>
    <row r="405" spans="1:48" ht="13.5" customHeight="1">
      <c r="A405" s="45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42"/>
      <c r="U405" s="43"/>
      <c r="V405" s="44"/>
      <c r="W405" s="45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</row>
    <row r="406" spans="1:48" ht="13.5" customHeight="1">
      <c r="A406" s="45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42"/>
      <c r="U406" s="43"/>
      <c r="V406" s="44"/>
      <c r="W406" s="45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</row>
    <row r="407" spans="1:48" ht="13.5" customHeight="1">
      <c r="A407" s="45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42"/>
      <c r="U407" s="43"/>
      <c r="V407" s="44"/>
      <c r="W407" s="45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</row>
    <row r="408" spans="1:48" ht="13.5" customHeight="1">
      <c r="A408" s="45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42"/>
      <c r="U408" s="43"/>
      <c r="V408" s="44"/>
      <c r="W408" s="45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</row>
    <row r="409" spans="1:48" ht="13.5" customHeight="1">
      <c r="A409" s="45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42"/>
      <c r="U409" s="43"/>
      <c r="V409" s="44"/>
      <c r="W409" s="45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</row>
    <row r="410" spans="1:48" ht="13.5" customHeight="1">
      <c r="A410" s="45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42"/>
      <c r="U410" s="43"/>
      <c r="V410" s="44"/>
      <c r="W410" s="45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</row>
    <row r="411" spans="1:48" ht="13.5" customHeight="1">
      <c r="A411" s="45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42"/>
      <c r="U411" s="43"/>
      <c r="V411" s="44"/>
      <c r="W411" s="45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</row>
    <row r="412" spans="1:48" ht="13.5" customHeight="1">
      <c r="A412" s="45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42"/>
      <c r="U412" s="43"/>
      <c r="V412" s="44"/>
      <c r="W412" s="45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</row>
    <row r="413" spans="1:48" ht="13.5" customHeight="1">
      <c r="A413" s="45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42"/>
      <c r="U413" s="43"/>
      <c r="V413" s="44"/>
      <c r="W413" s="45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</row>
    <row r="414" spans="1:48" ht="13.5" customHeight="1">
      <c r="A414" s="45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42"/>
      <c r="U414" s="43"/>
      <c r="V414" s="44"/>
      <c r="W414" s="45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</row>
    <row r="415" spans="1:48" ht="13.5" customHeight="1">
      <c r="A415" s="45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42"/>
      <c r="U415" s="43"/>
      <c r="V415" s="44"/>
      <c r="W415" s="45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</row>
    <row r="416" spans="1:48" ht="13.5" customHeight="1">
      <c r="A416" s="45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42"/>
      <c r="U416" s="43"/>
      <c r="V416" s="44"/>
      <c r="W416" s="45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</row>
    <row r="417" spans="1:48" ht="13.5" customHeight="1">
      <c r="A417" s="45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42"/>
      <c r="U417" s="43"/>
      <c r="V417" s="44"/>
      <c r="W417" s="45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</row>
    <row r="418" spans="1:48" ht="13.5" customHeight="1">
      <c r="A418" s="45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42"/>
      <c r="U418" s="43"/>
      <c r="V418" s="44"/>
      <c r="W418" s="45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</row>
    <row r="419" spans="1:48" ht="13.5" customHeight="1">
      <c r="A419" s="45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42"/>
      <c r="U419" s="43"/>
      <c r="V419" s="44"/>
      <c r="W419" s="45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</row>
    <row r="420" spans="1:48" ht="13.5" customHeight="1">
      <c r="A420" s="45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42"/>
      <c r="U420" s="43"/>
      <c r="V420" s="44"/>
      <c r="W420" s="45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</row>
    <row r="421" spans="1:48" ht="13.5" customHeight="1">
      <c r="A421" s="45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42"/>
      <c r="U421" s="43"/>
      <c r="V421" s="44"/>
      <c r="W421" s="45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</row>
    <row r="422" spans="1:48" ht="13.5" customHeight="1">
      <c r="A422" s="45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42"/>
      <c r="U422" s="43"/>
      <c r="V422" s="44"/>
      <c r="W422" s="45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</row>
    <row r="423" spans="1:48" ht="13.5" customHeight="1">
      <c r="A423" s="45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42"/>
      <c r="U423" s="43"/>
      <c r="V423" s="44"/>
      <c r="W423" s="45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</row>
    <row r="424" spans="1:48" ht="13.5" customHeight="1">
      <c r="A424" s="45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42"/>
      <c r="U424" s="43"/>
      <c r="V424" s="44"/>
      <c r="W424" s="45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</row>
    <row r="425" spans="1:48" ht="13.5" customHeight="1">
      <c r="A425" s="45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42"/>
      <c r="U425" s="43"/>
      <c r="V425" s="44"/>
      <c r="W425" s="45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</row>
    <row r="426" spans="1:48" ht="13.5" customHeight="1">
      <c r="A426" s="45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42"/>
      <c r="U426" s="43"/>
      <c r="V426" s="44"/>
      <c r="W426" s="45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</row>
    <row r="427" spans="1:48" ht="13.5" customHeight="1">
      <c r="A427" s="45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42"/>
      <c r="U427" s="43"/>
      <c r="V427" s="44"/>
      <c r="W427" s="45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</row>
    <row r="428" spans="1:48" ht="13.5" customHeight="1">
      <c r="A428" s="45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42"/>
      <c r="U428" s="43"/>
      <c r="V428" s="44"/>
      <c r="W428" s="45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</row>
    <row r="429" spans="1:48" ht="13.5" customHeight="1">
      <c r="A429" s="45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42"/>
      <c r="U429" s="43"/>
      <c r="V429" s="44"/>
      <c r="W429" s="45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</row>
    <row r="430" spans="1:48" ht="13.5" customHeight="1">
      <c r="A430" s="45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42"/>
      <c r="U430" s="43"/>
      <c r="V430" s="44"/>
      <c r="W430" s="45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</row>
    <row r="431" spans="1:48" ht="13.5" customHeight="1">
      <c r="A431" s="45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42"/>
      <c r="U431" s="43"/>
      <c r="V431" s="44"/>
      <c r="W431" s="45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</row>
    <row r="432" spans="1:48" ht="13.5" customHeight="1">
      <c r="A432" s="45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42"/>
      <c r="U432" s="43"/>
      <c r="V432" s="44"/>
      <c r="W432" s="45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</row>
    <row r="433" spans="1:48" ht="13.5" customHeight="1">
      <c r="A433" s="45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42"/>
      <c r="U433" s="43"/>
      <c r="V433" s="44"/>
      <c r="W433" s="45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</row>
    <row r="434" spans="1:48" ht="13.5" customHeight="1">
      <c r="A434" s="45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42"/>
      <c r="U434" s="43"/>
      <c r="V434" s="44"/>
      <c r="W434" s="45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</row>
    <row r="435" spans="1:48" ht="13.5" customHeight="1">
      <c r="A435" s="45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42"/>
      <c r="U435" s="43"/>
      <c r="V435" s="44"/>
      <c r="W435" s="45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</row>
    <row r="436" spans="1:48" ht="13.5" customHeight="1">
      <c r="A436" s="45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42"/>
      <c r="U436" s="43"/>
      <c r="V436" s="44"/>
      <c r="W436" s="45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</row>
    <row r="437" spans="1:48" ht="13.5" customHeight="1">
      <c r="A437" s="45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42"/>
      <c r="U437" s="43"/>
      <c r="V437" s="44"/>
      <c r="W437" s="45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</row>
    <row r="438" spans="1:48" ht="13.5" customHeight="1">
      <c r="A438" s="45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42"/>
      <c r="U438" s="43"/>
      <c r="V438" s="44"/>
      <c r="W438" s="45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</row>
    <row r="439" spans="1:48" ht="13.5" customHeight="1">
      <c r="A439" s="45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42"/>
      <c r="U439" s="43"/>
      <c r="V439" s="44"/>
      <c r="W439" s="45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</row>
    <row r="440" spans="1:48" ht="13.5" customHeight="1">
      <c r="A440" s="45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42"/>
      <c r="U440" s="43"/>
      <c r="V440" s="44"/>
      <c r="W440" s="45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</row>
    <row r="441" spans="1:48" ht="13.5" customHeight="1">
      <c r="A441" s="45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42"/>
      <c r="U441" s="43"/>
      <c r="V441" s="44"/>
      <c r="W441" s="45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</row>
    <row r="442" spans="1:48" ht="13.5" customHeight="1">
      <c r="A442" s="45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42"/>
      <c r="U442" s="43"/>
      <c r="V442" s="44"/>
      <c r="W442" s="45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</row>
    <row r="443" spans="1:48" ht="13.5" customHeight="1">
      <c r="A443" s="45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42"/>
      <c r="U443" s="43"/>
      <c r="V443" s="44"/>
      <c r="W443" s="45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</row>
    <row r="444" spans="1:48" ht="13.5" customHeight="1">
      <c r="A444" s="45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42"/>
      <c r="U444" s="43"/>
      <c r="V444" s="44"/>
      <c r="W444" s="45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</row>
    <row r="445" spans="1:48" ht="13.5" customHeight="1">
      <c r="A445" s="45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42"/>
      <c r="U445" s="43"/>
      <c r="V445" s="44"/>
      <c r="W445" s="45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</row>
    <row r="446" spans="1:48" ht="13.5" customHeight="1">
      <c r="A446" s="45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42"/>
      <c r="U446" s="43"/>
      <c r="V446" s="44"/>
      <c r="W446" s="45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</row>
    <row r="447" spans="1:48" ht="13.5" customHeight="1">
      <c r="A447" s="45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42"/>
      <c r="U447" s="43"/>
      <c r="V447" s="44"/>
      <c r="W447" s="45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</row>
    <row r="448" spans="1:48" ht="13.5" customHeight="1">
      <c r="A448" s="45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42"/>
      <c r="U448" s="43"/>
      <c r="V448" s="44"/>
      <c r="W448" s="45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</row>
    <row r="449" spans="1:48" ht="13.5" customHeight="1">
      <c r="A449" s="45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42"/>
      <c r="U449" s="43"/>
      <c r="V449" s="44"/>
      <c r="W449" s="45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</row>
    <row r="450" spans="1:48" ht="13.5" customHeight="1">
      <c r="A450" s="45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42"/>
      <c r="U450" s="43"/>
      <c r="V450" s="44"/>
      <c r="W450" s="45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</row>
    <row r="451" spans="1:48" ht="13.5" customHeight="1">
      <c r="A451" s="45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42"/>
      <c r="U451" s="43"/>
      <c r="V451" s="44"/>
      <c r="W451" s="45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</row>
    <row r="452" spans="1:48" ht="13.5" customHeight="1">
      <c r="A452" s="45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42"/>
      <c r="U452" s="43"/>
      <c r="V452" s="44"/>
      <c r="W452" s="45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</row>
    <row r="453" spans="1:48" ht="13.5" customHeight="1">
      <c r="A453" s="45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42"/>
      <c r="U453" s="43"/>
      <c r="V453" s="44"/>
      <c r="W453" s="45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</row>
    <row r="454" spans="1:48" ht="13.5" customHeight="1">
      <c r="A454" s="45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42"/>
      <c r="U454" s="43"/>
      <c r="V454" s="44"/>
      <c r="W454" s="45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</row>
    <row r="455" spans="1:48" ht="13.5" customHeight="1">
      <c r="A455" s="45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42"/>
      <c r="U455" s="43"/>
      <c r="V455" s="44"/>
      <c r="W455" s="45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</row>
    <row r="456" spans="1:48" ht="13.5" customHeight="1">
      <c r="A456" s="45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42"/>
      <c r="U456" s="43"/>
      <c r="V456" s="44"/>
      <c r="W456" s="45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</row>
    <row r="457" spans="1:48" ht="13.5" customHeight="1">
      <c r="A457" s="45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42"/>
      <c r="U457" s="43"/>
      <c r="V457" s="44"/>
      <c r="W457" s="45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</row>
    <row r="458" spans="1:48" ht="13.5" customHeight="1">
      <c r="A458" s="45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42"/>
      <c r="U458" s="43"/>
      <c r="V458" s="44"/>
      <c r="W458" s="45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</row>
    <row r="459" spans="1:48" ht="13.5" customHeight="1">
      <c r="A459" s="45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42"/>
      <c r="U459" s="43"/>
      <c r="V459" s="44"/>
      <c r="W459" s="45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</row>
    <row r="460" spans="1:48" ht="13.5" customHeight="1">
      <c r="A460" s="45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42"/>
      <c r="U460" s="43"/>
      <c r="V460" s="44"/>
      <c r="W460" s="45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</row>
    <row r="461" spans="1:48" ht="13.5" customHeight="1">
      <c r="A461" s="45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42"/>
      <c r="U461" s="43"/>
      <c r="V461" s="44"/>
      <c r="W461" s="45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</row>
    <row r="462" spans="1:48" ht="13.5" customHeight="1">
      <c r="A462" s="45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42"/>
      <c r="U462" s="43"/>
      <c r="V462" s="44"/>
      <c r="W462" s="45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</row>
    <row r="463" spans="1:48" ht="13.5" customHeight="1">
      <c r="A463" s="45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42"/>
      <c r="U463" s="43"/>
      <c r="V463" s="44"/>
      <c r="W463" s="45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</row>
    <row r="464" spans="1:48" ht="13.5" customHeight="1">
      <c r="A464" s="45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42"/>
      <c r="U464" s="43"/>
      <c r="V464" s="44"/>
      <c r="W464" s="45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</row>
    <row r="465" spans="1:48" ht="13.5" customHeight="1">
      <c r="A465" s="45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42"/>
      <c r="U465" s="43"/>
      <c r="V465" s="44"/>
      <c r="W465" s="45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</row>
    <row r="466" spans="1:48" ht="13.5" customHeight="1">
      <c r="A466" s="45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42"/>
      <c r="U466" s="43"/>
      <c r="V466" s="44"/>
      <c r="W466" s="45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</row>
    <row r="467" spans="1:48" ht="13.5" customHeight="1">
      <c r="A467" s="45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42"/>
      <c r="U467" s="43"/>
      <c r="V467" s="44"/>
      <c r="W467" s="45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</row>
    <row r="468" spans="1:48" ht="13.5" customHeight="1">
      <c r="A468" s="45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42"/>
      <c r="U468" s="43"/>
      <c r="V468" s="44"/>
      <c r="W468" s="45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</row>
    <row r="469" spans="1:48" ht="13.5" customHeight="1">
      <c r="A469" s="45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42"/>
      <c r="U469" s="43"/>
      <c r="V469" s="44"/>
      <c r="W469" s="45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</row>
    <row r="470" spans="1:48" ht="13.5" customHeight="1">
      <c r="A470" s="45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42"/>
      <c r="U470" s="43"/>
      <c r="V470" s="44"/>
      <c r="W470" s="45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</row>
    <row r="471" spans="1:48" ht="13.5" customHeight="1">
      <c r="A471" s="45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42"/>
      <c r="U471" s="43"/>
      <c r="V471" s="44"/>
      <c r="W471" s="45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</row>
    <row r="472" spans="1:48" ht="13.5" customHeight="1">
      <c r="A472" s="45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42"/>
      <c r="U472" s="43"/>
      <c r="V472" s="44"/>
      <c r="W472" s="45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</row>
    <row r="473" spans="1:48" ht="13.5" customHeight="1">
      <c r="A473" s="45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42"/>
      <c r="U473" s="43"/>
      <c r="V473" s="44"/>
      <c r="W473" s="45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</row>
    <row r="474" spans="1:48" ht="13.5" customHeight="1">
      <c r="A474" s="45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42"/>
      <c r="U474" s="43"/>
      <c r="V474" s="44"/>
      <c r="W474" s="45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</row>
    <row r="475" spans="1:48" ht="13.5" customHeight="1">
      <c r="A475" s="45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42"/>
      <c r="U475" s="43"/>
      <c r="V475" s="44"/>
      <c r="W475" s="45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</row>
    <row r="476" spans="1:48" ht="13.5" customHeight="1">
      <c r="A476" s="45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42"/>
      <c r="U476" s="43"/>
      <c r="V476" s="44"/>
      <c r="W476" s="45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</row>
    <row r="477" spans="1:48" ht="13.5" customHeight="1">
      <c r="A477" s="45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42"/>
      <c r="U477" s="43"/>
      <c r="V477" s="44"/>
      <c r="W477" s="45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</row>
    <row r="478" spans="1:48" ht="13.5" customHeight="1">
      <c r="A478" s="45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42"/>
      <c r="U478" s="43"/>
      <c r="V478" s="44"/>
      <c r="W478" s="45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</row>
    <row r="479" spans="1:48" ht="13.5" customHeight="1">
      <c r="A479" s="45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42"/>
      <c r="U479" s="43"/>
      <c r="V479" s="44"/>
      <c r="W479" s="45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</row>
    <row r="480" spans="1:48" ht="13.5" customHeight="1">
      <c r="A480" s="45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42"/>
      <c r="U480" s="43"/>
      <c r="V480" s="44"/>
      <c r="W480" s="45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</row>
    <row r="481" spans="1:48" ht="13.5" customHeight="1">
      <c r="A481" s="45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42"/>
      <c r="U481" s="43"/>
      <c r="V481" s="44"/>
      <c r="W481" s="45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</row>
    <row r="482" spans="1:48" ht="13.5" customHeight="1">
      <c r="A482" s="45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42"/>
      <c r="U482" s="43"/>
      <c r="V482" s="44"/>
      <c r="W482" s="45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</row>
    <row r="483" spans="1:48" ht="13.5" customHeight="1">
      <c r="A483" s="45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42"/>
      <c r="U483" s="43"/>
      <c r="V483" s="44"/>
      <c r="W483" s="45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</row>
    <row r="484" spans="1:48" ht="13.5" customHeight="1">
      <c r="A484" s="45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42"/>
      <c r="U484" s="43"/>
      <c r="V484" s="44"/>
      <c r="W484" s="45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</row>
    <row r="485" spans="1:48" ht="13.5" customHeight="1">
      <c r="A485" s="45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42"/>
      <c r="U485" s="43"/>
      <c r="V485" s="44"/>
      <c r="W485" s="45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</row>
    <row r="486" spans="1:48" ht="13.5" customHeight="1">
      <c r="A486" s="45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42"/>
      <c r="U486" s="43"/>
      <c r="V486" s="44"/>
      <c r="W486" s="45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</row>
    <row r="487" spans="1:48" ht="13.5" customHeight="1">
      <c r="A487" s="45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42"/>
      <c r="U487" s="43"/>
      <c r="V487" s="44"/>
      <c r="W487" s="45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</row>
    <row r="488" spans="1:48" ht="13.5" customHeight="1">
      <c r="A488" s="45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42"/>
      <c r="U488" s="43"/>
      <c r="V488" s="44"/>
      <c r="W488" s="45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</row>
    <row r="489" spans="1:48" ht="13.5" customHeight="1">
      <c r="A489" s="45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42"/>
      <c r="U489" s="43"/>
      <c r="V489" s="44"/>
      <c r="W489" s="45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</row>
    <row r="490" spans="1:48" ht="13.5" customHeight="1">
      <c r="A490" s="45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42"/>
      <c r="U490" s="43"/>
      <c r="V490" s="44"/>
      <c r="W490" s="45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</row>
    <row r="491" spans="1:48" ht="13.5" customHeight="1">
      <c r="A491" s="45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42"/>
      <c r="U491" s="43"/>
      <c r="V491" s="44"/>
      <c r="W491" s="45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</row>
    <row r="492" spans="1:48" ht="13.5" customHeight="1">
      <c r="A492" s="45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42"/>
      <c r="U492" s="43"/>
      <c r="V492" s="44"/>
      <c r="W492" s="45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</row>
    <row r="493" spans="1:48" ht="13.5" customHeight="1">
      <c r="A493" s="45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42"/>
      <c r="U493" s="43"/>
      <c r="V493" s="44"/>
      <c r="W493" s="45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</row>
    <row r="494" spans="1:48" ht="13.5" customHeight="1">
      <c r="A494" s="45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42"/>
      <c r="U494" s="43"/>
      <c r="V494" s="44"/>
      <c r="W494" s="45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</row>
    <row r="495" spans="1:48" ht="13.5" customHeight="1">
      <c r="A495" s="45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42"/>
      <c r="U495" s="43"/>
      <c r="V495" s="44"/>
      <c r="W495" s="45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</row>
    <row r="496" spans="1:48" ht="13.5" customHeight="1">
      <c r="A496" s="45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42"/>
      <c r="U496" s="43"/>
      <c r="V496" s="44"/>
      <c r="W496" s="45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</row>
    <row r="497" spans="1:48" ht="13.5" customHeight="1">
      <c r="A497" s="45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42"/>
      <c r="U497" s="43"/>
      <c r="V497" s="44"/>
      <c r="W497" s="45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</row>
    <row r="498" spans="1:48" ht="13.5" customHeight="1">
      <c r="A498" s="45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42"/>
      <c r="U498" s="43"/>
      <c r="V498" s="44"/>
      <c r="W498" s="45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</row>
    <row r="499" spans="1:48" ht="13.5" customHeight="1">
      <c r="A499" s="45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42"/>
      <c r="U499" s="43"/>
      <c r="V499" s="44"/>
      <c r="W499" s="45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</row>
    <row r="500" spans="1:48" ht="13.5" customHeight="1">
      <c r="A500" s="45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42"/>
      <c r="U500" s="43"/>
      <c r="V500" s="44"/>
      <c r="W500" s="45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</row>
    <row r="501" spans="1:48" ht="13.5" customHeight="1">
      <c r="A501" s="45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42"/>
      <c r="U501" s="43"/>
      <c r="V501" s="44"/>
      <c r="W501" s="45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</row>
    <row r="502" spans="1:48" ht="13.5" customHeight="1">
      <c r="A502" s="45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42"/>
      <c r="U502" s="43"/>
      <c r="V502" s="44"/>
      <c r="W502" s="45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</row>
    <row r="503" spans="1:48" ht="13.5" customHeight="1">
      <c r="A503" s="45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42"/>
      <c r="U503" s="43"/>
      <c r="V503" s="44"/>
      <c r="W503" s="45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</row>
    <row r="504" spans="1:48" ht="13.5" customHeight="1">
      <c r="A504" s="45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42"/>
      <c r="U504" s="43"/>
      <c r="V504" s="44"/>
      <c r="W504" s="45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</row>
    <row r="505" spans="1:48" ht="13.5" customHeight="1">
      <c r="A505" s="45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42"/>
      <c r="U505" s="43"/>
      <c r="V505" s="44"/>
      <c r="W505" s="45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</row>
    <row r="506" spans="1:48" ht="13.5" customHeight="1">
      <c r="A506" s="45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42"/>
      <c r="U506" s="43"/>
      <c r="V506" s="44"/>
      <c r="W506" s="45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</row>
    <row r="507" spans="1:48" ht="13.5" customHeight="1">
      <c r="A507" s="45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42"/>
      <c r="U507" s="43"/>
      <c r="V507" s="44"/>
      <c r="W507" s="45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</row>
    <row r="508" spans="1:48" ht="13.5" customHeight="1">
      <c r="A508" s="45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42"/>
      <c r="U508" s="43"/>
      <c r="V508" s="44"/>
      <c r="W508" s="45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</row>
    <row r="509" spans="1:48" ht="13.5" customHeight="1">
      <c r="A509" s="45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42"/>
      <c r="U509" s="43"/>
      <c r="V509" s="44"/>
      <c r="W509" s="45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</row>
    <row r="510" spans="1:48" ht="13.5" customHeight="1">
      <c r="A510" s="45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42"/>
      <c r="U510" s="43"/>
      <c r="V510" s="44"/>
      <c r="W510" s="45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</row>
    <row r="511" spans="1:48" ht="13.5" customHeight="1">
      <c r="A511" s="45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42"/>
      <c r="U511" s="43"/>
      <c r="V511" s="44"/>
      <c r="W511" s="45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</row>
    <row r="512" spans="1:48" ht="13.5" customHeight="1">
      <c r="A512" s="45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42"/>
      <c r="U512" s="43"/>
      <c r="V512" s="44"/>
      <c r="W512" s="45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</row>
    <row r="513" spans="1:48" ht="13.5" customHeight="1">
      <c r="A513" s="45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42"/>
      <c r="U513" s="43"/>
      <c r="V513" s="44"/>
      <c r="W513" s="45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</row>
    <row r="514" spans="1:48" ht="13.5" customHeight="1">
      <c r="A514" s="45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42"/>
      <c r="U514" s="43"/>
      <c r="V514" s="44"/>
      <c r="W514" s="45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</row>
    <row r="515" spans="1:48" ht="13.5" customHeight="1">
      <c r="A515" s="45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42"/>
      <c r="U515" s="43"/>
      <c r="V515" s="44"/>
      <c r="W515" s="45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</row>
    <row r="516" spans="1:48" ht="13.5" customHeight="1">
      <c r="A516" s="45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42"/>
      <c r="U516" s="43"/>
      <c r="V516" s="44"/>
      <c r="W516" s="45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</row>
    <row r="517" spans="1:48" ht="13.5" customHeight="1">
      <c r="A517" s="45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42"/>
      <c r="U517" s="43"/>
      <c r="V517" s="44"/>
      <c r="W517" s="45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</row>
    <row r="518" spans="1:48" ht="13.5" customHeight="1">
      <c r="A518" s="45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42"/>
      <c r="U518" s="43"/>
      <c r="V518" s="44"/>
      <c r="W518" s="45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</row>
    <row r="519" spans="1:48" ht="13.5" customHeight="1">
      <c r="A519" s="45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42"/>
      <c r="U519" s="43"/>
      <c r="V519" s="44"/>
      <c r="W519" s="45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</row>
    <row r="520" spans="1:48" ht="13.5" customHeight="1">
      <c r="A520" s="45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42"/>
      <c r="U520" s="43"/>
      <c r="V520" s="44"/>
      <c r="W520" s="45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</row>
    <row r="521" spans="1:48" ht="13.5" customHeight="1">
      <c r="A521" s="45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42"/>
      <c r="U521" s="43"/>
      <c r="V521" s="44"/>
      <c r="W521" s="45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</row>
    <row r="522" spans="1:48" ht="13.5" customHeight="1">
      <c r="A522" s="45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42"/>
      <c r="U522" s="43"/>
      <c r="V522" s="44"/>
      <c r="W522" s="45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</row>
    <row r="523" spans="1:48" ht="13.5" customHeight="1">
      <c r="A523" s="45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42"/>
      <c r="U523" s="43"/>
      <c r="V523" s="44"/>
      <c r="W523" s="45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</row>
    <row r="524" spans="1:48" ht="13.5" customHeight="1">
      <c r="A524" s="45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42"/>
      <c r="U524" s="43"/>
      <c r="V524" s="44"/>
      <c r="W524" s="45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</row>
    <row r="525" spans="1:48" ht="13.5" customHeight="1">
      <c r="A525" s="45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42"/>
      <c r="U525" s="43"/>
      <c r="V525" s="44"/>
      <c r="W525" s="45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</row>
    <row r="526" spans="1:48" ht="13.5" customHeight="1">
      <c r="A526" s="45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42"/>
      <c r="U526" s="43"/>
      <c r="V526" s="44"/>
      <c r="W526" s="45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</row>
    <row r="527" spans="1:48" ht="13.5" customHeight="1">
      <c r="A527" s="45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42"/>
      <c r="U527" s="43"/>
      <c r="V527" s="44"/>
      <c r="W527" s="45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</row>
    <row r="528" spans="1:48" ht="13.5" customHeight="1">
      <c r="A528" s="45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42"/>
      <c r="U528" s="43"/>
      <c r="V528" s="44"/>
      <c r="W528" s="45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</row>
    <row r="529" spans="1:48" ht="13.5" customHeight="1">
      <c r="A529" s="45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42"/>
      <c r="U529" s="43"/>
      <c r="V529" s="44"/>
      <c r="W529" s="45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</row>
    <row r="530" spans="1:48" ht="13.5" customHeight="1">
      <c r="A530" s="45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42"/>
      <c r="U530" s="43"/>
      <c r="V530" s="44"/>
      <c r="W530" s="45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</row>
    <row r="531" spans="1:48" ht="13.5" customHeight="1">
      <c r="A531" s="45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42"/>
      <c r="U531" s="43"/>
      <c r="V531" s="44"/>
      <c r="W531" s="45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</row>
    <row r="532" spans="1:48" ht="13.5" customHeight="1">
      <c r="A532" s="45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42"/>
      <c r="U532" s="43"/>
      <c r="V532" s="44"/>
      <c r="W532" s="45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</row>
    <row r="533" spans="1:48" ht="13.5" customHeight="1">
      <c r="A533" s="45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42"/>
      <c r="U533" s="43"/>
      <c r="V533" s="44"/>
      <c r="W533" s="45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</row>
    <row r="534" spans="1:48" ht="13.5" customHeight="1">
      <c r="A534" s="45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42"/>
      <c r="U534" s="43"/>
      <c r="V534" s="44"/>
      <c r="W534" s="45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</row>
    <row r="535" spans="1:48" ht="13.5" customHeight="1">
      <c r="A535" s="45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42"/>
      <c r="U535" s="43"/>
      <c r="V535" s="44"/>
      <c r="W535" s="45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</row>
    <row r="536" spans="1:48" ht="13.5" customHeight="1">
      <c r="A536" s="45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42"/>
      <c r="U536" s="43"/>
      <c r="V536" s="44"/>
      <c r="W536" s="45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</row>
    <row r="537" spans="1:48" ht="13.5" customHeight="1">
      <c r="A537" s="45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42"/>
      <c r="U537" s="43"/>
      <c r="V537" s="44"/>
      <c r="W537" s="45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</row>
    <row r="538" spans="1:48" ht="13.5" customHeight="1">
      <c r="A538" s="45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42"/>
      <c r="U538" s="43"/>
      <c r="V538" s="44"/>
      <c r="W538" s="45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</row>
    <row r="539" spans="1:48" ht="13.5" customHeight="1">
      <c r="A539" s="45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42"/>
      <c r="U539" s="43"/>
      <c r="V539" s="44"/>
      <c r="W539" s="45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</row>
    <row r="540" spans="1:48" ht="13.5" customHeight="1">
      <c r="A540" s="45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42"/>
      <c r="U540" s="43"/>
      <c r="V540" s="44"/>
      <c r="W540" s="45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</row>
    <row r="541" spans="1:48" ht="13.5" customHeight="1">
      <c r="A541" s="45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42"/>
      <c r="U541" s="43"/>
      <c r="V541" s="44"/>
      <c r="W541" s="45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</row>
    <row r="542" spans="1:48" ht="13.5" customHeight="1">
      <c r="A542" s="45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42"/>
      <c r="U542" s="43"/>
      <c r="V542" s="44"/>
      <c r="W542" s="45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</row>
    <row r="543" spans="1:48" ht="13.5" customHeight="1">
      <c r="A543" s="45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42"/>
      <c r="U543" s="43"/>
      <c r="V543" s="44"/>
      <c r="W543" s="45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</row>
    <row r="544" spans="1:48" ht="13.5" customHeight="1">
      <c r="A544" s="45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42"/>
      <c r="U544" s="43"/>
      <c r="V544" s="44"/>
      <c r="W544" s="45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</row>
    <row r="545" spans="1:48" ht="13.5" customHeight="1">
      <c r="A545" s="45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42"/>
      <c r="U545" s="43"/>
      <c r="V545" s="44"/>
      <c r="W545" s="45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</row>
    <row r="546" spans="1:48" ht="13.5" customHeight="1">
      <c r="A546" s="45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42"/>
      <c r="U546" s="43"/>
      <c r="V546" s="44"/>
      <c r="W546" s="45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</row>
    <row r="547" spans="1:48" ht="13.5" customHeight="1">
      <c r="A547" s="45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42"/>
      <c r="U547" s="43"/>
      <c r="V547" s="44"/>
      <c r="W547" s="45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</row>
    <row r="548" spans="1:48" ht="13.5" customHeight="1">
      <c r="A548" s="45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42"/>
      <c r="U548" s="43"/>
      <c r="V548" s="44"/>
      <c r="W548" s="45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</row>
    <row r="549" spans="1:48" ht="13.5" customHeight="1">
      <c r="A549" s="45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42"/>
      <c r="U549" s="43"/>
      <c r="V549" s="44"/>
      <c r="W549" s="45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</row>
    <row r="550" spans="1:48" ht="13.5" customHeight="1">
      <c r="A550" s="45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42"/>
      <c r="U550" s="43"/>
      <c r="V550" s="44"/>
      <c r="W550" s="45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</row>
    <row r="551" spans="1:48" ht="13.5" customHeight="1">
      <c r="A551" s="45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42"/>
      <c r="U551" s="43"/>
      <c r="V551" s="44"/>
      <c r="W551" s="45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</row>
    <row r="552" spans="1:48" ht="13.5" customHeight="1">
      <c r="A552" s="45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42"/>
      <c r="U552" s="43"/>
      <c r="V552" s="44"/>
      <c r="W552" s="45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</row>
    <row r="553" spans="1:48" ht="13.5" customHeight="1">
      <c r="A553" s="45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42"/>
      <c r="U553" s="43"/>
      <c r="V553" s="44"/>
      <c r="W553" s="45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</row>
    <row r="554" spans="1:48" ht="13.5" customHeight="1">
      <c r="A554" s="45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42"/>
      <c r="U554" s="43"/>
      <c r="V554" s="44"/>
      <c r="W554" s="45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</row>
    <row r="555" spans="1:48" ht="13.5" customHeight="1">
      <c r="A555" s="45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42"/>
      <c r="U555" s="43"/>
      <c r="V555" s="44"/>
      <c r="W555" s="45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</row>
    <row r="556" spans="1:48" ht="13.5" customHeight="1">
      <c r="A556" s="45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42"/>
      <c r="U556" s="43"/>
      <c r="V556" s="44"/>
      <c r="W556" s="45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</row>
    <row r="557" spans="1:48" ht="13.5" customHeight="1">
      <c r="A557" s="45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42"/>
      <c r="U557" s="43"/>
      <c r="V557" s="44"/>
      <c r="W557" s="45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</row>
    <row r="558" spans="1:48" ht="13.5" customHeight="1">
      <c r="A558" s="45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42"/>
      <c r="U558" s="43"/>
      <c r="V558" s="44"/>
      <c r="W558" s="45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</row>
    <row r="559" spans="1:48" ht="13.5" customHeight="1">
      <c r="A559" s="45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42"/>
      <c r="U559" s="43"/>
      <c r="V559" s="44"/>
      <c r="W559" s="45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</row>
    <row r="560" spans="1:48" ht="13.5" customHeight="1">
      <c r="A560" s="45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42"/>
      <c r="U560" s="43"/>
      <c r="V560" s="44"/>
      <c r="W560" s="45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</row>
    <row r="561" spans="1:48" ht="13.5" customHeight="1">
      <c r="A561" s="45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42"/>
      <c r="U561" s="43"/>
      <c r="V561" s="44"/>
      <c r="W561" s="45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</row>
    <row r="562" spans="1:48" ht="13.5" customHeight="1">
      <c r="A562" s="45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42"/>
      <c r="U562" s="43"/>
      <c r="V562" s="44"/>
      <c r="W562" s="45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</row>
    <row r="563" spans="1:48" ht="13.5" customHeight="1">
      <c r="A563" s="45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42"/>
      <c r="U563" s="43"/>
      <c r="V563" s="44"/>
      <c r="W563" s="45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</row>
    <row r="564" spans="1:48" ht="13.5" customHeight="1">
      <c r="A564" s="45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42"/>
      <c r="U564" s="43"/>
      <c r="V564" s="44"/>
      <c r="W564" s="45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</row>
    <row r="565" spans="1:48" ht="13.5" customHeight="1">
      <c r="A565" s="45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42"/>
      <c r="U565" s="43"/>
      <c r="V565" s="44"/>
      <c r="W565" s="45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</row>
    <row r="566" spans="1:48" ht="13.5" customHeight="1">
      <c r="A566" s="45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42"/>
      <c r="U566" s="43"/>
      <c r="V566" s="44"/>
      <c r="W566" s="45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</row>
    <row r="567" spans="1:48" ht="13.5" customHeight="1">
      <c r="A567" s="45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42"/>
      <c r="U567" s="43"/>
      <c r="V567" s="44"/>
      <c r="W567" s="45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</row>
    <row r="568" spans="1:48" ht="13.5" customHeight="1">
      <c r="A568" s="45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42"/>
      <c r="U568" s="43"/>
      <c r="V568" s="44"/>
      <c r="W568" s="45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</row>
    <row r="569" spans="1:48" ht="13.5" customHeight="1">
      <c r="A569" s="45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42"/>
      <c r="U569" s="43"/>
      <c r="V569" s="44"/>
      <c r="W569" s="45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</row>
    <row r="570" spans="1:48" ht="13.5" customHeight="1">
      <c r="A570" s="45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42"/>
      <c r="U570" s="43"/>
      <c r="V570" s="44"/>
      <c r="W570" s="45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</row>
    <row r="571" spans="1:48" ht="13.5" customHeight="1">
      <c r="A571" s="45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42"/>
      <c r="U571" s="43"/>
      <c r="V571" s="44"/>
      <c r="W571" s="45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</row>
    <row r="572" spans="1:48" ht="13.5" customHeight="1">
      <c r="A572" s="45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42"/>
      <c r="U572" s="43"/>
      <c r="V572" s="44"/>
      <c r="W572" s="45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</row>
    <row r="573" spans="1:48" ht="13.5" customHeight="1">
      <c r="A573" s="45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42"/>
      <c r="U573" s="43"/>
      <c r="V573" s="44"/>
      <c r="W573" s="45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</row>
    <row r="574" spans="1:48" ht="13.5" customHeight="1">
      <c r="A574" s="45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42"/>
      <c r="U574" s="43"/>
      <c r="V574" s="44"/>
      <c r="W574" s="45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</row>
    <row r="575" spans="1:48" ht="13.5" customHeight="1">
      <c r="A575" s="45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42"/>
      <c r="U575" s="43"/>
      <c r="V575" s="44"/>
      <c r="W575" s="45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</row>
    <row r="576" spans="1:48" ht="13.5" customHeight="1">
      <c r="A576" s="45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42"/>
      <c r="U576" s="43"/>
      <c r="V576" s="44"/>
      <c r="W576" s="45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</row>
    <row r="577" spans="1:48" ht="13.5" customHeight="1">
      <c r="A577" s="45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42"/>
      <c r="U577" s="43"/>
      <c r="V577" s="44"/>
      <c r="W577" s="45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</row>
    <row r="578" spans="1:48" ht="13.5" customHeight="1">
      <c r="A578" s="45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42"/>
      <c r="U578" s="43"/>
      <c r="V578" s="44"/>
      <c r="W578" s="45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</row>
    <row r="579" spans="1:48" ht="13.5" customHeight="1">
      <c r="A579" s="45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42"/>
      <c r="U579" s="43"/>
      <c r="V579" s="44"/>
      <c r="W579" s="45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</row>
    <row r="580" spans="1:48" ht="13.5" customHeight="1">
      <c r="A580" s="45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42"/>
      <c r="U580" s="43"/>
      <c r="V580" s="44"/>
      <c r="W580" s="45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</row>
    <row r="581" spans="1:48" ht="13.5" customHeight="1">
      <c r="A581" s="45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42"/>
      <c r="U581" s="43"/>
      <c r="V581" s="44"/>
      <c r="W581" s="45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</row>
    <row r="582" spans="1:48" ht="13.5" customHeight="1">
      <c r="A582" s="45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42"/>
      <c r="U582" s="43"/>
      <c r="V582" s="44"/>
      <c r="W582" s="45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</row>
    <row r="583" spans="1:48" ht="13.5" customHeight="1">
      <c r="A583" s="45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42"/>
      <c r="U583" s="43"/>
      <c r="V583" s="44"/>
      <c r="W583" s="45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</row>
    <row r="584" spans="1:48" ht="13.5" customHeight="1">
      <c r="A584" s="45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42"/>
      <c r="U584" s="43"/>
      <c r="V584" s="44"/>
      <c r="W584" s="45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</row>
    <row r="585" spans="1:48" ht="13.5" customHeight="1">
      <c r="A585" s="45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42"/>
      <c r="U585" s="43"/>
      <c r="V585" s="44"/>
      <c r="W585" s="45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</row>
    <row r="586" spans="1:48" ht="13.5" customHeight="1">
      <c r="A586" s="45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42"/>
      <c r="U586" s="43"/>
      <c r="V586" s="44"/>
      <c r="W586" s="45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</row>
    <row r="587" spans="1:48" ht="13.5" customHeight="1">
      <c r="A587" s="45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42"/>
      <c r="U587" s="43"/>
      <c r="V587" s="44"/>
      <c r="W587" s="45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</row>
    <row r="588" spans="1:48" ht="13.5" customHeight="1">
      <c r="A588" s="45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42"/>
      <c r="U588" s="43"/>
      <c r="V588" s="44"/>
      <c r="W588" s="45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</row>
    <row r="589" spans="1:48" ht="13.5" customHeight="1">
      <c r="A589" s="45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42"/>
      <c r="U589" s="43"/>
      <c r="V589" s="44"/>
      <c r="W589" s="45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</row>
    <row r="590" spans="1:48" ht="13.5" customHeight="1">
      <c r="A590" s="45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42"/>
      <c r="U590" s="43"/>
      <c r="V590" s="44"/>
      <c r="W590" s="45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</row>
    <row r="591" spans="1:48" ht="13.5" customHeight="1">
      <c r="A591" s="45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42"/>
      <c r="U591" s="43"/>
      <c r="V591" s="44"/>
      <c r="W591" s="45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</row>
    <row r="592" spans="1:48" ht="13.5" customHeight="1">
      <c r="A592" s="45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42"/>
      <c r="U592" s="43"/>
      <c r="V592" s="44"/>
      <c r="W592" s="45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</row>
    <row r="593" spans="1:48" ht="13.5" customHeight="1">
      <c r="A593" s="45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42"/>
      <c r="U593" s="43"/>
      <c r="V593" s="44"/>
      <c r="W593" s="45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</row>
    <row r="594" spans="1:48" ht="13.5" customHeight="1">
      <c r="A594" s="45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42"/>
      <c r="U594" s="43"/>
      <c r="V594" s="44"/>
      <c r="W594" s="45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</row>
    <row r="595" spans="1:48" ht="13.5" customHeight="1">
      <c r="A595" s="45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42"/>
      <c r="U595" s="43"/>
      <c r="V595" s="44"/>
      <c r="W595" s="45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</row>
    <row r="596" spans="1:48" ht="13.5" customHeight="1">
      <c r="A596" s="45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42"/>
      <c r="U596" s="43"/>
      <c r="V596" s="44"/>
      <c r="W596" s="45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</row>
    <row r="597" spans="1:48" ht="13.5" customHeight="1">
      <c r="A597" s="45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42"/>
      <c r="U597" s="43"/>
      <c r="V597" s="44"/>
      <c r="W597" s="45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</row>
    <row r="598" spans="1:48" ht="13.5" customHeight="1">
      <c r="A598" s="45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42"/>
      <c r="U598" s="43"/>
      <c r="V598" s="44"/>
      <c r="W598" s="45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</row>
    <row r="599" spans="1:48" ht="13.5" customHeight="1">
      <c r="A599" s="45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42"/>
      <c r="U599" s="43"/>
      <c r="V599" s="44"/>
      <c r="W599" s="45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</row>
    <row r="600" spans="1:48" ht="13.5" customHeight="1">
      <c r="A600" s="45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42"/>
      <c r="U600" s="43"/>
      <c r="V600" s="44"/>
      <c r="W600" s="45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</row>
    <row r="601" spans="1:48" ht="13.5" customHeight="1">
      <c r="A601" s="45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42"/>
      <c r="U601" s="43"/>
      <c r="V601" s="44"/>
      <c r="W601" s="45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</row>
    <row r="602" spans="1:48" ht="13.5" customHeight="1">
      <c r="A602" s="45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42"/>
      <c r="U602" s="43"/>
      <c r="V602" s="44"/>
      <c r="W602" s="45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</row>
    <row r="603" spans="1:48" ht="13.5" customHeight="1">
      <c r="A603" s="45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42"/>
      <c r="U603" s="43"/>
      <c r="V603" s="44"/>
      <c r="W603" s="45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</row>
    <row r="604" spans="1:48" ht="13.5" customHeight="1">
      <c r="A604" s="45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42"/>
      <c r="U604" s="43"/>
      <c r="V604" s="44"/>
      <c r="W604" s="45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</row>
    <row r="605" spans="1:48" ht="13.5" customHeight="1">
      <c r="A605" s="45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42"/>
      <c r="U605" s="43"/>
      <c r="V605" s="44"/>
      <c r="W605" s="45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</row>
    <row r="606" spans="1:48" ht="13.5" customHeight="1">
      <c r="A606" s="45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42"/>
      <c r="U606" s="43"/>
      <c r="V606" s="44"/>
      <c r="W606" s="45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</row>
    <row r="607" spans="1:48" ht="13.5" customHeight="1">
      <c r="A607" s="45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42"/>
      <c r="U607" s="43"/>
      <c r="V607" s="44"/>
      <c r="W607" s="45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</row>
    <row r="608" spans="1:48" ht="13.5" customHeight="1">
      <c r="A608" s="45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42"/>
      <c r="U608" s="43"/>
      <c r="V608" s="44"/>
      <c r="W608" s="45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</row>
    <row r="609" spans="1:48" ht="13.5" customHeight="1">
      <c r="A609" s="45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42"/>
      <c r="U609" s="43"/>
      <c r="V609" s="44"/>
      <c r="W609" s="45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</row>
    <row r="610" spans="1:48" ht="13.5" customHeight="1">
      <c r="A610" s="45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42"/>
      <c r="U610" s="43"/>
      <c r="V610" s="44"/>
      <c r="W610" s="45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</row>
    <row r="611" spans="1:48" ht="13.5" customHeight="1">
      <c r="A611" s="45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42"/>
      <c r="U611" s="43"/>
      <c r="V611" s="44"/>
      <c r="W611" s="45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</row>
    <row r="612" spans="1:48" ht="13.5" customHeight="1">
      <c r="A612" s="45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42"/>
      <c r="U612" s="43"/>
      <c r="V612" s="44"/>
      <c r="W612" s="45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</row>
    <row r="613" spans="1:48" ht="13.5" customHeight="1">
      <c r="A613" s="45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42"/>
      <c r="U613" s="43"/>
      <c r="V613" s="44"/>
      <c r="W613" s="45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</row>
    <row r="614" spans="1:48" ht="13.5" customHeight="1">
      <c r="A614" s="45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42"/>
      <c r="U614" s="43"/>
      <c r="V614" s="44"/>
      <c r="W614" s="45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</row>
    <row r="615" spans="1:48" ht="13.5" customHeight="1">
      <c r="A615" s="45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42"/>
      <c r="U615" s="43"/>
      <c r="V615" s="44"/>
      <c r="W615" s="45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</row>
    <row r="616" spans="1:48" ht="13.5" customHeight="1">
      <c r="A616" s="45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42"/>
      <c r="U616" s="43"/>
      <c r="V616" s="44"/>
      <c r="W616" s="45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</row>
    <row r="617" spans="1:48" ht="13.5" customHeight="1">
      <c r="A617" s="45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42"/>
      <c r="U617" s="43"/>
      <c r="V617" s="44"/>
      <c r="W617" s="45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</row>
    <row r="618" spans="1:48" ht="13.5" customHeight="1">
      <c r="A618" s="45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42"/>
      <c r="U618" s="43"/>
      <c r="V618" s="44"/>
      <c r="W618" s="45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</row>
    <row r="619" spans="1:48" ht="13.5" customHeight="1">
      <c r="A619" s="45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42"/>
      <c r="U619" s="43"/>
      <c r="V619" s="44"/>
      <c r="W619" s="45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</row>
    <row r="620" spans="1:48" ht="13.5" customHeight="1">
      <c r="A620" s="45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42"/>
      <c r="U620" s="43"/>
      <c r="V620" s="44"/>
      <c r="W620" s="45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</row>
    <row r="621" spans="1:48" ht="13.5" customHeight="1">
      <c r="A621" s="45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42"/>
      <c r="U621" s="43"/>
      <c r="V621" s="44"/>
      <c r="W621" s="45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</row>
    <row r="622" spans="1:48" ht="13.5" customHeight="1">
      <c r="A622" s="45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42"/>
      <c r="U622" s="43"/>
      <c r="V622" s="44"/>
      <c r="W622" s="45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</row>
    <row r="623" spans="1:48" ht="13.5" customHeight="1">
      <c r="A623" s="45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42"/>
      <c r="U623" s="43"/>
      <c r="V623" s="44"/>
      <c r="W623" s="45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</row>
    <row r="624" spans="1:48" ht="13.5" customHeight="1">
      <c r="A624" s="45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42"/>
      <c r="U624" s="43"/>
      <c r="V624" s="44"/>
      <c r="W624" s="45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</row>
    <row r="625" spans="1:48" ht="13.5" customHeight="1">
      <c r="A625" s="45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42"/>
      <c r="U625" s="43"/>
      <c r="V625" s="44"/>
      <c r="W625" s="45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</row>
    <row r="626" spans="1:48" ht="13.5" customHeight="1">
      <c r="A626" s="45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42"/>
      <c r="U626" s="43"/>
      <c r="V626" s="44"/>
      <c r="W626" s="45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</row>
    <row r="627" spans="1:48" ht="13.5" customHeight="1">
      <c r="A627" s="45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42"/>
      <c r="U627" s="43"/>
      <c r="V627" s="44"/>
      <c r="W627" s="45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</row>
    <row r="628" spans="1:48" ht="13.5" customHeight="1">
      <c r="A628" s="45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42"/>
      <c r="U628" s="43"/>
      <c r="V628" s="44"/>
      <c r="W628" s="45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</row>
    <row r="629" spans="1:48" ht="13.5" customHeight="1">
      <c r="A629" s="45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42"/>
      <c r="U629" s="43"/>
      <c r="V629" s="44"/>
      <c r="W629" s="45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</row>
    <row r="630" spans="1:48" ht="13.5" customHeight="1">
      <c r="A630" s="45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42"/>
      <c r="U630" s="43"/>
      <c r="V630" s="44"/>
      <c r="W630" s="45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</row>
    <row r="631" spans="1:48" ht="13.5" customHeight="1">
      <c r="A631" s="45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42"/>
      <c r="U631" s="43"/>
      <c r="V631" s="44"/>
      <c r="W631" s="45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</row>
    <row r="632" spans="1:48" ht="13.5" customHeight="1">
      <c r="A632" s="45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42"/>
      <c r="U632" s="43"/>
      <c r="V632" s="44"/>
      <c r="W632" s="45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</row>
    <row r="633" spans="1:48" ht="13.5" customHeight="1">
      <c r="A633" s="45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42"/>
      <c r="U633" s="43"/>
      <c r="V633" s="44"/>
      <c r="W633" s="45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</row>
    <row r="634" spans="1:48" ht="13.5" customHeight="1">
      <c r="A634" s="45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42"/>
      <c r="U634" s="43"/>
      <c r="V634" s="44"/>
      <c r="W634" s="45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</row>
    <row r="635" spans="1:48" ht="13.5" customHeight="1">
      <c r="A635" s="45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42"/>
      <c r="U635" s="43"/>
      <c r="V635" s="44"/>
      <c r="W635" s="45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</row>
    <row r="636" spans="1:48" ht="13.5" customHeight="1">
      <c r="A636" s="45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42"/>
      <c r="U636" s="43"/>
      <c r="V636" s="44"/>
      <c r="W636" s="45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</row>
    <row r="637" spans="1:48" ht="13.5" customHeight="1">
      <c r="A637" s="45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42"/>
      <c r="U637" s="43"/>
      <c r="V637" s="44"/>
      <c r="W637" s="45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</row>
    <row r="638" spans="1:48" ht="13.5" customHeight="1">
      <c r="A638" s="45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42"/>
      <c r="U638" s="43"/>
      <c r="V638" s="44"/>
      <c r="W638" s="45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</row>
    <row r="639" spans="1:48" ht="13.5" customHeight="1">
      <c r="A639" s="45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42"/>
      <c r="U639" s="43"/>
      <c r="V639" s="44"/>
      <c r="W639" s="45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</row>
    <row r="640" spans="1:48" ht="13.5" customHeight="1">
      <c r="A640" s="45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42"/>
      <c r="U640" s="43"/>
      <c r="V640" s="44"/>
      <c r="W640" s="45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</row>
    <row r="641" spans="1:48" ht="13.5" customHeight="1">
      <c r="A641" s="45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42"/>
      <c r="U641" s="43"/>
      <c r="V641" s="44"/>
      <c r="W641" s="45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</row>
    <row r="642" spans="1:48" ht="13.5" customHeight="1">
      <c r="A642" s="45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42"/>
      <c r="U642" s="43"/>
      <c r="V642" s="44"/>
      <c r="W642" s="45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</row>
    <row r="643" spans="1:48" ht="13.5" customHeight="1">
      <c r="A643" s="45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42"/>
      <c r="U643" s="43"/>
      <c r="V643" s="44"/>
      <c r="W643" s="45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</row>
    <row r="644" spans="1:48" ht="13.5" customHeight="1">
      <c r="A644" s="45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42"/>
      <c r="U644" s="43"/>
      <c r="V644" s="44"/>
      <c r="W644" s="45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</row>
    <row r="645" spans="1:48" ht="13.5" customHeight="1">
      <c r="A645" s="45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42"/>
      <c r="U645" s="43"/>
      <c r="V645" s="44"/>
      <c r="W645" s="45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</row>
    <row r="646" spans="1:48" ht="13.5" customHeight="1">
      <c r="A646" s="45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42"/>
      <c r="U646" s="43"/>
      <c r="V646" s="44"/>
      <c r="W646" s="45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</row>
    <row r="647" spans="1:48" ht="13.5" customHeight="1">
      <c r="A647" s="45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42"/>
      <c r="U647" s="43"/>
      <c r="V647" s="44"/>
      <c r="W647" s="45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</row>
    <row r="648" spans="1:48" ht="13.5" customHeight="1">
      <c r="A648" s="45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42"/>
      <c r="U648" s="43"/>
      <c r="V648" s="44"/>
      <c r="W648" s="45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</row>
    <row r="649" spans="1:48" ht="13.5" customHeight="1">
      <c r="A649" s="45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42"/>
      <c r="U649" s="43"/>
      <c r="V649" s="44"/>
      <c r="W649" s="45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</row>
    <row r="650" spans="1:48" ht="13.5" customHeight="1">
      <c r="A650" s="45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42"/>
      <c r="U650" s="43"/>
      <c r="V650" s="44"/>
      <c r="W650" s="45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</row>
    <row r="651" spans="1:48" ht="13.5" customHeight="1">
      <c r="A651" s="45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42"/>
      <c r="U651" s="43"/>
      <c r="V651" s="44"/>
      <c r="W651" s="45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</row>
    <row r="652" spans="1:48" ht="13.5" customHeight="1">
      <c r="A652" s="45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42"/>
      <c r="U652" s="43"/>
      <c r="V652" s="44"/>
      <c r="W652" s="45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</row>
    <row r="653" spans="1:48" ht="13.5" customHeight="1">
      <c r="A653" s="45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42"/>
      <c r="U653" s="43"/>
      <c r="V653" s="44"/>
      <c r="W653" s="45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</row>
    <row r="654" spans="1:48" ht="13.5" customHeight="1">
      <c r="A654" s="45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42"/>
      <c r="U654" s="43"/>
      <c r="V654" s="44"/>
      <c r="W654" s="45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</row>
    <row r="655" spans="1:48" ht="13.5" customHeight="1">
      <c r="A655" s="45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42"/>
      <c r="U655" s="43"/>
      <c r="V655" s="44"/>
      <c r="W655" s="45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</row>
    <row r="656" spans="1:48" ht="13.5" customHeight="1">
      <c r="A656" s="45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42"/>
      <c r="U656" s="43"/>
      <c r="V656" s="44"/>
      <c r="W656" s="45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</row>
    <row r="657" spans="1:48" ht="13.5" customHeight="1">
      <c r="A657" s="45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42"/>
      <c r="U657" s="43"/>
      <c r="V657" s="44"/>
      <c r="W657" s="45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</row>
    <row r="658" spans="1:48" ht="13.5" customHeight="1">
      <c r="A658" s="45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42"/>
      <c r="U658" s="43"/>
      <c r="V658" s="44"/>
      <c r="W658" s="45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</row>
    <row r="659" spans="1:48" ht="13.5" customHeight="1">
      <c r="A659" s="45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42"/>
      <c r="U659" s="43"/>
      <c r="V659" s="44"/>
      <c r="W659" s="45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</row>
    <row r="660" spans="1:48" ht="13.5" customHeight="1">
      <c r="A660" s="45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42"/>
      <c r="U660" s="43"/>
      <c r="V660" s="44"/>
      <c r="W660" s="45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</row>
    <row r="661" spans="1:48" ht="13.5" customHeight="1">
      <c r="A661" s="45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42"/>
      <c r="U661" s="43"/>
      <c r="V661" s="44"/>
      <c r="W661" s="45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</row>
    <row r="662" spans="1:48" ht="13.5" customHeight="1">
      <c r="A662" s="45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42"/>
      <c r="U662" s="43"/>
      <c r="V662" s="44"/>
      <c r="W662" s="45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</row>
    <row r="663" spans="1:48" ht="13.5" customHeight="1">
      <c r="A663" s="45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42"/>
      <c r="U663" s="43"/>
      <c r="V663" s="44"/>
      <c r="W663" s="45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</row>
    <row r="664" spans="1:48" ht="13.5" customHeight="1">
      <c r="A664" s="45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42"/>
      <c r="U664" s="43"/>
      <c r="V664" s="44"/>
      <c r="W664" s="45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</row>
    <row r="665" spans="1:48" ht="13.5" customHeight="1">
      <c r="A665" s="45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42"/>
      <c r="U665" s="43"/>
      <c r="V665" s="44"/>
      <c r="W665" s="45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</row>
    <row r="666" spans="1:48" ht="13.5" customHeight="1">
      <c r="A666" s="45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42"/>
      <c r="U666" s="43"/>
      <c r="V666" s="44"/>
      <c r="W666" s="45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</row>
    <row r="667" spans="1:48" ht="13.5" customHeight="1">
      <c r="A667" s="45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42"/>
      <c r="U667" s="43"/>
      <c r="V667" s="44"/>
      <c r="W667" s="45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</row>
    <row r="668" spans="1:48" ht="13.5" customHeight="1">
      <c r="A668" s="45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42"/>
      <c r="U668" s="43"/>
      <c r="V668" s="44"/>
      <c r="W668" s="45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</row>
    <row r="669" spans="1:48" ht="13.5" customHeight="1">
      <c r="A669" s="45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42"/>
      <c r="U669" s="43"/>
      <c r="V669" s="44"/>
      <c r="W669" s="45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</row>
    <row r="670" spans="1:48" ht="13.5" customHeight="1">
      <c r="A670" s="45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42"/>
      <c r="U670" s="43"/>
      <c r="V670" s="44"/>
      <c r="W670" s="45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</row>
    <row r="671" spans="1:48" ht="13.5" customHeight="1">
      <c r="A671" s="45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42"/>
      <c r="U671" s="43"/>
      <c r="V671" s="44"/>
      <c r="W671" s="45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</row>
    <row r="672" spans="1:48" ht="13.5" customHeight="1">
      <c r="A672" s="45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42"/>
      <c r="U672" s="43"/>
      <c r="V672" s="44"/>
      <c r="W672" s="45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</row>
    <row r="673" spans="1:48" ht="13.5" customHeight="1">
      <c r="A673" s="45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42"/>
      <c r="U673" s="43"/>
      <c r="V673" s="44"/>
      <c r="W673" s="45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</row>
    <row r="674" spans="1:48" ht="13.5" customHeight="1">
      <c r="A674" s="45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42"/>
      <c r="U674" s="43"/>
      <c r="V674" s="44"/>
      <c r="W674" s="45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</row>
    <row r="675" spans="1:48" ht="13.5" customHeight="1">
      <c r="A675" s="45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42"/>
      <c r="U675" s="43"/>
      <c r="V675" s="44"/>
      <c r="W675" s="45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</row>
    <row r="676" spans="1:48" ht="13.5" customHeight="1">
      <c r="A676" s="45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42"/>
      <c r="U676" s="43"/>
      <c r="V676" s="44"/>
      <c r="W676" s="45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</row>
    <row r="677" spans="1:48" ht="13.5" customHeight="1">
      <c r="A677" s="45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42"/>
      <c r="U677" s="43"/>
      <c r="V677" s="44"/>
      <c r="W677" s="45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</row>
    <row r="678" spans="1:48" ht="13.5" customHeight="1">
      <c r="A678" s="45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42"/>
      <c r="U678" s="43"/>
      <c r="V678" s="44"/>
      <c r="W678" s="45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</row>
    <row r="679" spans="1:48" ht="13.5" customHeight="1">
      <c r="A679" s="45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42"/>
      <c r="U679" s="43"/>
      <c r="V679" s="44"/>
      <c r="W679" s="45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</row>
    <row r="680" spans="1:48" ht="13.5" customHeight="1">
      <c r="A680" s="45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42"/>
      <c r="U680" s="43"/>
      <c r="V680" s="44"/>
      <c r="W680" s="45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</row>
    <row r="681" spans="1:48" ht="13.5" customHeight="1">
      <c r="A681" s="45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42"/>
      <c r="U681" s="43"/>
      <c r="V681" s="44"/>
      <c r="W681" s="45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</row>
    <row r="682" spans="1:48" ht="13.5" customHeight="1">
      <c r="A682" s="45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42"/>
      <c r="U682" s="43"/>
      <c r="V682" s="44"/>
      <c r="W682" s="45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</row>
    <row r="683" spans="1:48" ht="13.5" customHeight="1">
      <c r="A683" s="45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42"/>
      <c r="U683" s="43"/>
      <c r="V683" s="44"/>
      <c r="W683" s="45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</row>
    <row r="684" spans="1:48" ht="13.5" customHeight="1">
      <c r="A684" s="45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42"/>
      <c r="U684" s="43"/>
      <c r="V684" s="44"/>
      <c r="W684" s="45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</row>
    <row r="685" spans="1:48" ht="13.5" customHeight="1">
      <c r="A685" s="45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42"/>
      <c r="U685" s="43"/>
      <c r="V685" s="44"/>
      <c r="W685" s="45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</row>
    <row r="686" spans="1:48" ht="13.5" customHeight="1">
      <c r="A686" s="45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42"/>
      <c r="U686" s="43"/>
      <c r="V686" s="44"/>
      <c r="W686" s="45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</row>
    <row r="687" spans="1:48" ht="13.5" customHeight="1">
      <c r="A687" s="45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42"/>
      <c r="U687" s="43"/>
      <c r="V687" s="44"/>
      <c r="W687" s="45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</row>
    <row r="688" spans="1:48" ht="13.5" customHeight="1">
      <c r="A688" s="45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42"/>
      <c r="U688" s="43"/>
      <c r="V688" s="44"/>
      <c r="W688" s="45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</row>
    <row r="689" spans="1:48" ht="13.5" customHeight="1">
      <c r="A689" s="45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42"/>
      <c r="U689" s="43"/>
      <c r="V689" s="44"/>
      <c r="W689" s="45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</row>
    <row r="690" spans="1:48" ht="13.5" customHeight="1">
      <c r="A690" s="45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42"/>
      <c r="U690" s="43"/>
      <c r="V690" s="44"/>
      <c r="W690" s="45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</row>
    <row r="691" spans="1:48" ht="13.5" customHeight="1">
      <c r="A691" s="45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42"/>
      <c r="U691" s="43"/>
      <c r="V691" s="44"/>
      <c r="W691" s="45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</row>
    <row r="692" spans="1:48" ht="13.5" customHeight="1">
      <c r="A692" s="45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42"/>
      <c r="U692" s="43"/>
      <c r="V692" s="44"/>
      <c r="W692" s="45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</row>
    <row r="693" spans="1:48" ht="13.5" customHeight="1">
      <c r="A693" s="45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42"/>
      <c r="U693" s="43"/>
      <c r="V693" s="44"/>
      <c r="W693" s="45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</row>
    <row r="694" spans="1:48" ht="13.5" customHeight="1">
      <c r="A694" s="45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42"/>
      <c r="U694" s="43"/>
      <c r="V694" s="44"/>
      <c r="W694" s="45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</row>
    <row r="695" spans="1:48" ht="13.5" customHeight="1">
      <c r="A695" s="45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42"/>
      <c r="U695" s="43"/>
      <c r="V695" s="44"/>
      <c r="W695" s="45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</row>
    <row r="696" spans="1:48" ht="13.5" customHeight="1">
      <c r="A696" s="45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42"/>
      <c r="U696" s="43"/>
      <c r="V696" s="44"/>
      <c r="W696" s="45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</row>
    <row r="697" spans="1:48" ht="13.5" customHeight="1">
      <c r="A697" s="45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42"/>
      <c r="U697" s="43"/>
      <c r="V697" s="44"/>
      <c r="W697" s="45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</row>
    <row r="698" spans="1:48" ht="13.5" customHeight="1">
      <c r="A698" s="45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42"/>
      <c r="U698" s="43"/>
      <c r="V698" s="44"/>
      <c r="W698" s="45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</row>
    <row r="699" spans="1:48" ht="13.5" customHeight="1">
      <c r="A699" s="45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42"/>
      <c r="U699" s="43"/>
      <c r="V699" s="44"/>
      <c r="W699" s="45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</row>
    <row r="700" spans="1:48" ht="13.5" customHeight="1">
      <c r="A700" s="45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42"/>
      <c r="U700" s="43"/>
      <c r="V700" s="44"/>
      <c r="W700" s="45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</row>
    <row r="701" spans="1:48" ht="13.5" customHeight="1">
      <c r="A701" s="45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42"/>
      <c r="U701" s="43"/>
      <c r="V701" s="44"/>
      <c r="W701" s="45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</row>
    <row r="702" spans="1:48" ht="13.5" customHeight="1">
      <c r="A702" s="45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42"/>
      <c r="U702" s="43"/>
      <c r="V702" s="44"/>
      <c r="W702" s="45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</row>
    <row r="703" spans="1:48" ht="13.5" customHeight="1">
      <c r="A703" s="45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42"/>
      <c r="U703" s="43"/>
      <c r="V703" s="44"/>
      <c r="W703" s="45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</row>
    <row r="704" spans="1:48" ht="13.5" customHeight="1">
      <c r="A704" s="45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42"/>
      <c r="U704" s="43"/>
      <c r="V704" s="44"/>
      <c r="W704" s="45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</row>
    <row r="705" spans="1:48" ht="13.5" customHeight="1">
      <c r="A705" s="45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42"/>
      <c r="U705" s="43"/>
      <c r="V705" s="44"/>
      <c r="W705" s="45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</row>
    <row r="706" spans="1:48" ht="13.5" customHeight="1">
      <c r="A706" s="45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42"/>
      <c r="U706" s="43"/>
      <c r="V706" s="44"/>
      <c r="W706" s="45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</row>
    <row r="707" spans="1:48" ht="13.5" customHeight="1">
      <c r="A707" s="45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42"/>
      <c r="U707" s="43"/>
      <c r="V707" s="44"/>
      <c r="W707" s="45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</row>
    <row r="708" spans="1:48" ht="13.5" customHeight="1">
      <c r="A708" s="45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42"/>
      <c r="U708" s="43"/>
      <c r="V708" s="44"/>
      <c r="W708" s="45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</row>
    <row r="709" spans="1:48" ht="13.5" customHeight="1">
      <c r="A709" s="45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42"/>
      <c r="U709" s="43"/>
      <c r="V709" s="44"/>
      <c r="W709" s="45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</row>
    <row r="710" spans="1:48" ht="13.5" customHeight="1">
      <c r="A710" s="45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42"/>
      <c r="U710" s="43"/>
      <c r="V710" s="44"/>
      <c r="W710" s="45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</row>
    <row r="711" spans="1:48" ht="13.5" customHeight="1">
      <c r="A711" s="45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42"/>
      <c r="U711" s="43"/>
      <c r="V711" s="44"/>
      <c r="W711" s="45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</row>
    <row r="712" spans="1:48" ht="13.5" customHeight="1">
      <c r="A712" s="45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42"/>
      <c r="U712" s="43"/>
      <c r="V712" s="44"/>
      <c r="W712" s="45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</row>
    <row r="713" spans="1:48" ht="13.5" customHeight="1">
      <c r="A713" s="45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42"/>
      <c r="U713" s="43"/>
      <c r="V713" s="44"/>
      <c r="W713" s="45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</row>
    <row r="714" spans="1:48" ht="13.5" customHeight="1">
      <c r="A714" s="45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42"/>
      <c r="U714" s="43"/>
      <c r="V714" s="44"/>
      <c r="W714" s="45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</row>
    <row r="715" spans="1:48" ht="13.5" customHeight="1">
      <c r="A715" s="45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42"/>
      <c r="U715" s="43"/>
      <c r="V715" s="44"/>
      <c r="W715" s="45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</row>
    <row r="716" spans="1:48" ht="13.5" customHeight="1">
      <c r="A716" s="45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42"/>
      <c r="U716" s="43"/>
      <c r="V716" s="44"/>
      <c r="W716" s="45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</row>
    <row r="717" spans="1:48" ht="13.5" customHeight="1">
      <c r="A717" s="45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42"/>
      <c r="U717" s="43"/>
      <c r="V717" s="44"/>
      <c r="W717" s="45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</row>
    <row r="718" spans="1:48" ht="13.5" customHeight="1">
      <c r="A718" s="45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42"/>
      <c r="U718" s="43"/>
      <c r="V718" s="44"/>
      <c r="W718" s="45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</row>
    <row r="719" spans="1:48" ht="13.5" customHeight="1">
      <c r="A719" s="45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42"/>
      <c r="U719" s="43"/>
      <c r="V719" s="44"/>
      <c r="W719" s="45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</row>
    <row r="720" spans="1:48" ht="13.5" customHeight="1">
      <c r="A720" s="45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42"/>
      <c r="U720" s="43"/>
      <c r="V720" s="44"/>
      <c r="W720" s="45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</row>
    <row r="721" spans="1:48" ht="13.5" customHeight="1">
      <c r="A721" s="45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42"/>
      <c r="U721" s="43"/>
      <c r="V721" s="44"/>
      <c r="W721" s="45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</row>
    <row r="722" spans="1:48" ht="13.5" customHeight="1">
      <c r="A722" s="45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42"/>
      <c r="U722" s="43"/>
      <c r="V722" s="44"/>
      <c r="W722" s="45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</row>
    <row r="723" spans="1:48" ht="13.5" customHeight="1">
      <c r="A723" s="45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42"/>
      <c r="U723" s="43"/>
      <c r="V723" s="44"/>
      <c r="W723" s="45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</row>
    <row r="724" spans="1:48" ht="13.5" customHeight="1">
      <c r="A724" s="45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42"/>
      <c r="U724" s="43"/>
      <c r="V724" s="44"/>
      <c r="W724" s="45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</row>
    <row r="725" spans="1:48" ht="13.5" customHeight="1">
      <c r="A725" s="45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42"/>
      <c r="U725" s="43"/>
      <c r="V725" s="44"/>
      <c r="W725" s="45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</row>
    <row r="726" spans="1:48" ht="13.5" customHeight="1">
      <c r="A726" s="45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42"/>
      <c r="U726" s="43"/>
      <c r="V726" s="44"/>
      <c r="W726" s="45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</row>
    <row r="727" spans="1:48" ht="13.5" customHeight="1">
      <c r="A727" s="45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42"/>
      <c r="U727" s="43"/>
      <c r="V727" s="44"/>
      <c r="W727" s="45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</row>
    <row r="728" spans="1:48" ht="13.5" customHeight="1">
      <c r="A728" s="45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42"/>
      <c r="U728" s="43"/>
      <c r="V728" s="44"/>
      <c r="W728" s="45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</row>
    <row r="729" spans="1:48" ht="13.5" customHeight="1">
      <c r="A729" s="45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42"/>
      <c r="U729" s="43"/>
      <c r="V729" s="44"/>
      <c r="W729" s="45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</row>
    <row r="730" spans="1:48" ht="13.5" customHeight="1">
      <c r="A730" s="45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42"/>
      <c r="U730" s="43"/>
      <c r="V730" s="44"/>
      <c r="W730" s="45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</row>
    <row r="731" spans="1:48" ht="13.5" customHeight="1">
      <c r="A731" s="45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42"/>
      <c r="U731" s="43"/>
      <c r="V731" s="44"/>
      <c r="W731" s="45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</row>
    <row r="732" spans="1:48" ht="13.5" customHeight="1">
      <c r="A732" s="45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42"/>
      <c r="U732" s="43"/>
      <c r="V732" s="44"/>
      <c r="W732" s="45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</row>
    <row r="733" spans="1:48" ht="13.5" customHeight="1">
      <c r="A733" s="45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42"/>
      <c r="U733" s="43"/>
      <c r="V733" s="44"/>
      <c r="W733" s="45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</row>
    <row r="734" spans="1:48" ht="13.5" customHeight="1">
      <c r="A734" s="45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42"/>
      <c r="U734" s="43"/>
      <c r="V734" s="44"/>
      <c r="W734" s="45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</row>
    <row r="735" spans="1:48" ht="13.5" customHeight="1">
      <c r="A735" s="45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42"/>
      <c r="U735" s="43"/>
      <c r="V735" s="44"/>
      <c r="W735" s="45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</row>
    <row r="736" spans="1:48" ht="13.5" customHeight="1">
      <c r="A736" s="45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42"/>
      <c r="U736" s="43"/>
      <c r="V736" s="44"/>
      <c r="W736" s="45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</row>
    <row r="737" spans="1:48" ht="13.5" customHeight="1">
      <c r="A737" s="45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42"/>
      <c r="U737" s="43"/>
      <c r="V737" s="44"/>
      <c r="W737" s="45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</row>
    <row r="738" spans="1:48" ht="13.5" customHeight="1">
      <c r="A738" s="45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42"/>
      <c r="U738" s="43"/>
      <c r="V738" s="44"/>
      <c r="W738" s="45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</row>
    <row r="739" spans="1:48" ht="13.5" customHeight="1">
      <c r="A739" s="45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42"/>
      <c r="U739" s="43"/>
      <c r="V739" s="44"/>
      <c r="W739" s="45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</row>
    <row r="740" spans="1:48" ht="13.5" customHeight="1">
      <c r="A740" s="45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42"/>
      <c r="U740" s="43"/>
      <c r="V740" s="44"/>
      <c r="W740" s="45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</row>
    <row r="741" spans="1:48" ht="13.5" customHeight="1">
      <c r="A741" s="45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42"/>
      <c r="U741" s="43"/>
      <c r="V741" s="44"/>
      <c r="W741" s="45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</row>
    <row r="742" spans="1:48" ht="13.5" customHeight="1">
      <c r="A742" s="45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42"/>
      <c r="U742" s="43"/>
      <c r="V742" s="44"/>
      <c r="W742" s="45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</row>
    <row r="743" spans="1:48" ht="13.5" customHeight="1">
      <c r="A743" s="45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42"/>
      <c r="U743" s="43"/>
      <c r="V743" s="44"/>
      <c r="W743" s="45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</row>
    <row r="744" spans="1:48" ht="13.5" customHeight="1">
      <c r="A744" s="45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42"/>
      <c r="U744" s="43"/>
      <c r="V744" s="44"/>
      <c r="W744" s="45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</row>
    <row r="745" spans="1:48" ht="13.5" customHeight="1">
      <c r="A745" s="45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42"/>
      <c r="U745" s="43"/>
      <c r="V745" s="44"/>
      <c r="W745" s="45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</row>
    <row r="746" spans="1:48" ht="13.5" customHeight="1">
      <c r="A746" s="45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42"/>
      <c r="U746" s="43"/>
      <c r="V746" s="44"/>
      <c r="W746" s="45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</row>
    <row r="747" spans="1:48" ht="13.5" customHeight="1">
      <c r="A747" s="45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42"/>
      <c r="U747" s="43"/>
      <c r="V747" s="44"/>
      <c r="W747" s="45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</row>
    <row r="748" spans="1:48" ht="13.5" customHeight="1">
      <c r="A748" s="45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42"/>
      <c r="U748" s="43"/>
      <c r="V748" s="44"/>
      <c r="W748" s="45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</row>
    <row r="749" spans="1:48" ht="13.5" customHeight="1">
      <c r="A749" s="45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42"/>
      <c r="U749" s="43"/>
      <c r="V749" s="44"/>
      <c r="W749" s="45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</row>
    <row r="750" spans="1:48" ht="13.5" customHeight="1">
      <c r="A750" s="45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42"/>
      <c r="U750" s="43"/>
      <c r="V750" s="44"/>
      <c r="W750" s="45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</row>
    <row r="751" spans="1:48" ht="13.5" customHeight="1">
      <c r="A751" s="45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42"/>
      <c r="U751" s="43"/>
      <c r="V751" s="44"/>
      <c r="W751" s="45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</row>
    <row r="752" spans="1:48" ht="13.5" customHeight="1">
      <c r="A752" s="45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42"/>
      <c r="U752" s="43"/>
      <c r="V752" s="44"/>
      <c r="W752" s="45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</row>
    <row r="753" spans="1:48" ht="13.5" customHeight="1">
      <c r="A753" s="45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42"/>
      <c r="U753" s="43"/>
      <c r="V753" s="44"/>
      <c r="W753" s="45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</row>
    <row r="754" spans="1:48" ht="13.5" customHeight="1">
      <c r="A754" s="45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42"/>
      <c r="U754" s="43"/>
      <c r="V754" s="44"/>
      <c r="W754" s="45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</row>
    <row r="755" spans="1:48" ht="13.5" customHeight="1">
      <c r="A755" s="45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42"/>
      <c r="U755" s="43"/>
      <c r="V755" s="44"/>
      <c r="W755" s="45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</row>
    <row r="756" spans="1:48" ht="13.5" customHeight="1">
      <c r="A756" s="45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42"/>
      <c r="U756" s="43"/>
      <c r="V756" s="44"/>
      <c r="W756" s="45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</row>
    <row r="757" spans="1:48" ht="13.5" customHeight="1">
      <c r="A757" s="45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42"/>
      <c r="U757" s="43"/>
      <c r="V757" s="44"/>
      <c r="W757" s="45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</row>
    <row r="758" spans="1:48" ht="13.5" customHeight="1">
      <c r="A758" s="45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42"/>
      <c r="U758" s="43"/>
      <c r="V758" s="44"/>
      <c r="W758" s="45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</row>
    <row r="759" spans="1:48" ht="13.5" customHeight="1">
      <c r="A759" s="45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42"/>
      <c r="U759" s="43"/>
      <c r="V759" s="44"/>
      <c r="W759" s="45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</row>
    <row r="760" spans="1:48" ht="13.5" customHeight="1">
      <c r="A760" s="45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42"/>
      <c r="U760" s="43"/>
      <c r="V760" s="44"/>
      <c r="W760" s="45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</row>
    <row r="761" spans="1:48" ht="13.5" customHeight="1">
      <c r="A761" s="45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42"/>
      <c r="U761" s="43"/>
      <c r="V761" s="44"/>
      <c r="W761" s="45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</row>
    <row r="762" spans="1:48" ht="13.5" customHeight="1">
      <c r="A762" s="45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42"/>
      <c r="U762" s="43"/>
      <c r="V762" s="44"/>
      <c r="W762" s="45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</row>
    <row r="763" spans="1:48" ht="13.5" customHeight="1">
      <c r="A763" s="45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42"/>
      <c r="U763" s="43"/>
      <c r="V763" s="44"/>
      <c r="W763" s="45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</row>
    <row r="764" spans="1:48" ht="13.5" customHeight="1">
      <c r="A764" s="45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42"/>
      <c r="U764" s="43"/>
      <c r="V764" s="44"/>
      <c r="W764" s="45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</row>
    <row r="765" spans="1:48" ht="13.5" customHeight="1">
      <c r="A765" s="45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42"/>
      <c r="U765" s="43"/>
      <c r="V765" s="44"/>
      <c r="W765" s="45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</row>
    <row r="766" spans="1:48" ht="13.5" customHeight="1">
      <c r="A766" s="45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42"/>
      <c r="U766" s="43"/>
      <c r="V766" s="44"/>
      <c r="W766" s="45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</row>
    <row r="767" spans="1:48" ht="13.5" customHeight="1">
      <c r="A767" s="45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42"/>
      <c r="U767" s="43"/>
      <c r="V767" s="44"/>
      <c r="W767" s="45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</row>
    <row r="768" spans="1:48" ht="13.5" customHeight="1">
      <c r="A768" s="45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42"/>
      <c r="U768" s="43"/>
      <c r="V768" s="44"/>
      <c r="W768" s="45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</row>
    <row r="769" spans="1:48" ht="13.5" customHeight="1">
      <c r="A769" s="45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42"/>
      <c r="U769" s="43"/>
      <c r="V769" s="44"/>
      <c r="W769" s="45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</row>
    <row r="770" spans="1:48" ht="13.5" customHeight="1">
      <c r="A770" s="45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42"/>
      <c r="U770" s="43"/>
      <c r="V770" s="44"/>
      <c r="W770" s="45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</row>
    <row r="771" spans="1:48" ht="13.5" customHeight="1">
      <c r="A771" s="45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42"/>
      <c r="U771" s="43"/>
      <c r="V771" s="44"/>
      <c r="W771" s="45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</row>
    <row r="772" spans="1:48" ht="13.5" customHeight="1">
      <c r="A772" s="45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42"/>
      <c r="U772" s="43"/>
      <c r="V772" s="44"/>
      <c r="W772" s="45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</row>
    <row r="773" spans="1:48" ht="13.5" customHeight="1">
      <c r="A773" s="45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42"/>
      <c r="U773" s="43"/>
      <c r="V773" s="44"/>
      <c r="W773" s="45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</row>
    <row r="774" spans="1:48" ht="13.5" customHeight="1">
      <c r="A774" s="45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42"/>
      <c r="U774" s="43"/>
      <c r="V774" s="44"/>
      <c r="W774" s="45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</row>
    <row r="775" spans="1:48" ht="13.5" customHeight="1">
      <c r="A775" s="45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42"/>
      <c r="U775" s="43"/>
      <c r="V775" s="44"/>
      <c r="W775" s="45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</row>
    <row r="776" spans="1:48" ht="13.5" customHeight="1">
      <c r="A776" s="45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42"/>
      <c r="U776" s="43"/>
      <c r="V776" s="44"/>
      <c r="W776" s="45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</row>
    <row r="777" spans="1:48" ht="13.5" customHeight="1">
      <c r="A777" s="45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42"/>
      <c r="U777" s="43"/>
      <c r="V777" s="44"/>
      <c r="W777" s="45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</row>
    <row r="778" spans="1:48" ht="13.5" customHeight="1">
      <c r="A778" s="45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42"/>
      <c r="U778" s="43"/>
      <c r="V778" s="44"/>
      <c r="W778" s="45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</row>
    <row r="779" spans="1:48" ht="13.5" customHeight="1">
      <c r="A779" s="45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42"/>
      <c r="U779" s="43"/>
      <c r="V779" s="44"/>
      <c r="W779" s="45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</row>
    <row r="780" spans="1:48" ht="13.5" customHeight="1">
      <c r="A780" s="45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42"/>
      <c r="U780" s="43"/>
      <c r="V780" s="44"/>
      <c r="W780" s="45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</row>
    <row r="781" spans="1:48" ht="13.5" customHeight="1">
      <c r="A781" s="45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42"/>
      <c r="U781" s="43"/>
      <c r="V781" s="44"/>
      <c r="W781" s="45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</row>
    <row r="782" spans="1:48" ht="13.5" customHeight="1">
      <c r="A782" s="45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42"/>
      <c r="U782" s="43"/>
      <c r="V782" s="44"/>
      <c r="W782" s="45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</row>
    <row r="783" spans="1:48" ht="13.5" customHeight="1">
      <c r="A783" s="45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42"/>
      <c r="U783" s="43"/>
      <c r="V783" s="44"/>
      <c r="W783" s="45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</row>
    <row r="784" spans="1:48" ht="13.5" customHeight="1">
      <c r="A784" s="45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42"/>
      <c r="U784" s="43"/>
      <c r="V784" s="44"/>
      <c r="W784" s="45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</row>
    <row r="785" spans="1:48" ht="13.5" customHeight="1">
      <c r="A785" s="45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42"/>
      <c r="U785" s="43"/>
      <c r="V785" s="44"/>
      <c r="W785" s="45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</row>
    <row r="786" spans="1:48" ht="13.5" customHeight="1">
      <c r="A786" s="45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42"/>
      <c r="U786" s="43"/>
      <c r="V786" s="44"/>
      <c r="W786" s="45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</row>
    <row r="787" spans="1:48" ht="13.5" customHeight="1">
      <c r="A787" s="45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42"/>
      <c r="U787" s="43"/>
      <c r="V787" s="44"/>
      <c r="W787" s="45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</row>
    <row r="788" spans="1:48" ht="13.5" customHeight="1">
      <c r="A788" s="45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42"/>
      <c r="U788" s="43"/>
      <c r="V788" s="44"/>
      <c r="W788" s="45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</row>
    <row r="789" spans="1:48" ht="13.5" customHeight="1">
      <c r="A789" s="45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42"/>
      <c r="U789" s="43"/>
      <c r="V789" s="44"/>
      <c r="W789" s="45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</row>
    <row r="790" spans="1:48" ht="13.5" customHeight="1">
      <c r="A790" s="45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42"/>
      <c r="U790" s="43"/>
      <c r="V790" s="44"/>
      <c r="W790" s="45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</row>
    <row r="791" spans="1:48" ht="13.5" customHeight="1">
      <c r="A791" s="45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42"/>
      <c r="U791" s="43"/>
      <c r="V791" s="44"/>
      <c r="W791" s="45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</row>
    <row r="792" spans="1:48" ht="13.5" customHeight="1">
      <c r="A792" s="45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42"/>
      <c r="U792" s="43"/>
      <c r="V792" s="44"/>
      <c r="W792" s="45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</row>
    <row r="793" spans="1:48" ht="13.5" customHeight="1">
      <c r="A793" s="45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42"/>
      <c r="U793" s="43"/>
      <c r="V793" s="44"/>
      <c r="W793" s="45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</row>
    <row r="794" spans="1:48" ht="13.5" customHeight="1">
      <c r="A794" s="45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42"/>
      <c r="U794" s="43"/>
      <c r="V794" s="44"/>
      <c r="W794" s="45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</row>
    <row r="795" spans="1:48" ht="13.5" customHeight="1">
      <c r="A795" s="45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42"/>
      <c r="U795" s="43"/>
      <c r="V795" s="44"/>
      <c r="W795" s="45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</row>
    <row r="796" spans="1:48" ht="13.5" customHeight="1">
      <c r="A796" s="45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42"/>
      <c r="U796" s="43"/>
      <c r="V796" s="44"/>
      <c r="W796" s="45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</row>
    <row r="797" spans="1:48" ht="13.5" customHeight="1">
      <c r="A797" s="45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42"/>
      <c r="U797" s="43"/>
      <c r="V797" s="44"/>
      <c r="W797" s="45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</row>
    <row r="798" spans="1:48" ht="13.5" customHeight="1">
      <c r="A798" s="45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42"/>
      <c r="U798" s="43"/>
      <c r="V798" s="44"/>
      <c r="W798" s="45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</row>
    <row r="799" spans="1:48" ht="13.5" customHeight="1">
      <c r="A799" s="45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42"/>
      <c r="U799" s="43"/>
      <c r="V799" s="44"/>
      <c r="W799" s="45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</row>
    <row r="800" spans="1:48" ht="13.5" customHeight="1">
      <c r="A800" s="45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42"/>
      <c r="U800" s="43"/>
      <c r="V800" s="44"/>
      <c r="W800" s="45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</row>
    <row r="801" spans="1:48" ht="13.5" customHeight="1">
      <c r="A801" s="45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42"/>
      <c r="U801" s="43"/>
      <c r="V801" s="44"/>
      <c r="W801" s="45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</row>
    <row r="802" spans="1:48" ht="13.5" customHeight="1">
      <c r="A802" s="45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42"/>
      <c r="U802" s="43"/>
      <c r="V802" s="44"/>
      <c r="W802" s="45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</row>
    <row r="803" spans="1:48" ht="13.5" customHeight="1">
      <c r="A803" s="45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42"/>
      <c r="U803" s="43"/>
      <c r="V803" s="44"/>
      <c r="W803" s="45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</row>
    <row r="804" spans="1:48" ht="13.5" customHeight="1">
      <c r="A804" s="45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42"/>
      <c r="U804" s="43"/>
      <c r="V804" s="44"/>
      <c r="W804" s="45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</row>
    <row r="805" spans="1:48" ht="13.5" customHeight="1">
      <c r="A805" s="45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42"/>
      <c r="U805" s="43"/>
      <c r="V805" s="44"/>
      <c r="W805" s="45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</row>
    <row r="806" spans="1:48" ht="13.5" customHeight="1">
      <c r="A806" s="45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42"/>
      <c r="U806" s="43"/>
      <c r="V806" s="44"/>
      <c r="W806" s="45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</row>
    <row r="807" spans="1:48" ht="13.5" customHeight="1">
      <c r="A807" s="45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42"/>
      <c r="U807" s="43"/>
      <c r="V807" s="44"/>
      <c r="W807" s="45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</row>
    <row r="808" spans="1:48" ht="13.5" customHeight="1">
      <c r="A808" s="45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42"/>
      <c r="U808" s="43"/>
      <c r="V808" s="44"/>
      <c r="W808" s="45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</row>
    <row r="809" spans="1:48" ht="13.5" customHeight="1">
      <c r="A809" s="45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42"/>
      <c r="U809" s="43"/>
      <c r="V809" s="44"/>
      <c r="W809" s="45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</row>
    <row r="810" spans="1:48" ht="13.5" customHeight="1">
      <c r="A810" s="45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42"/>
      <c r="U810" s="43"/>
      <c r="V810" s="44"/>
      <c r="W810" s="45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</row>
    <row r="811" spans="1:48" ht="13.5" customHeight="1">
      <c r="A811" s="45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42"/>
      <c r="U811" s="43"/>
      <c r="V811" s="44"/>
      <c r="W811" s="45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</row>
    <row r="812" spans="1:48" ht="13.5" customHeight="1">
      <c r="A812" s="45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42"/>
      <c r="U812" s="43"/>
      <c r="V812" s="44"/>
      <c r="W812" s="45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</row>
    <row r="813" spans="1:48" ht="13.5" customHeight="1">
      <c r="A813" s="45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42"/>
      <c r="U813" s="43"/>
      <c r="V813" s="44"/>
      <c r="W813" s="45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</row>
    <row r="814" spans="1:48" ht="13.5" customHeight="1">
      <c r="A814" s="45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42"/>
      <c r="U814" s="43"/>
      <c r="V814" s="44"/>
      <c r="W814" s="45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</row>
    <row r="815" spans="1:48" ht="13.5" customHeight="1">
      <c r="A815" s="45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42"/>
      <c r="U815" s="43"/>
      <c r="V815" s="44"/>
      <c r="W815" s="45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</row>
    <row r="816" spans="1:48" ht="13.5" customHeight="1">
      <c r="A816" s="45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42"/>
      <c r="U816" s="43"/>
      <c r="V816" s="44"/>
      <c r="W816" s="45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</row>
    <row r="817" spans="1:48" ht="13.5" customHeight="1">
      <c r="A817" s="45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42"/>
      <c r="U817" s="43"/>
      <c r="V817" s="44"/>
      <c r="W817" s="45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</row>
    <row r="818" spans="1:48" ht="13.5" customHeight="1">
      <c r="A818" s="45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42"/>
      <c r="U818" s="43"/>
      <c r="V818" s="44"/>
      <c r="W818" s="45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</row>
    <row r="819" spans="1:48" ht="13.5" customHeight="1">
      <c r="A819" s="45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42"/>
      <c r="U819" s="43"/>
      <c r="V819" s="44"/>
      <c r="W819" s="45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</row>
    <row r="820" spans="1:48" ht="13.5" customHeight="1">
      <c r="A820" s="45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42"/>
      <c r="U820" s="43"/>
      <c r="V820" s="44"/>
      <c r="W820" s="45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</row>
    <row r="821" spans="1:48" ht="13.5" customHeight="1">
      <c r="A821" s="45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42"/>
      <c r="U821" s="43"/>
      <c r="V821" s="44"/>
      <c r="W821" s="45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</row>
    <row r="822" spans="1:48" ht="13.5" customHeight="1">
      <c r="A822" s="45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42"/>
      <c r="U822" s="43"/>
      <c r="V822" s="44"/>
      <c r="W822" s="45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</row>
    <row r="823" spans="1:48" ht="13.5" customHeight="1">
      <c r="A823" s="45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42"/>
      <c r="U823" s="43"/>
      <c r="V823" s="44"/>
      <c r="W823" s="45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</row>
    <row r="824" spans="1:48" ht="13.5" customHeight="1">
      <c r="A824" s="45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42"/>
      <c r="U824" s="43"/>
      <c r="V824" s="44"/>
      <c r="W824" s="45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</row>
    <row r="825" spans="1:48" ht="13.5" customHeight="1">
      <c r="A825" s="45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42"/>
      <c r="U825" s="43"/>
      <c r="V825" s="44"/>
      <c r="W825" s="45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</row>
    <row r="826" spans="1:48" ht="13.5" customHeight="1">
      <c r="A826" s="45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42"/>
      <c r="U826" s="43"/>
      <c r="V826" s="44"/>
      <c r="W826" s="45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</row>
    <row r="827" spans="1:48" ht="13.5" customHeight="1">
      <c r="A827" s="45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42"/>
      <c r="U827" s="43"/>
      <c r="V827" s="44"/>
      <c r="W827" s="45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</row>
    <row r="828" spans="1:48" ht="13.5" customHeight="1">
      <c r="A828" s="45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42"/>
      <c r="U828" s="43"/>
      <c r="V828" s="44"/>
      <c r="W828" s="45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</row>
    <row r="829" spans="1:48" ht="13.5" customHeight="1">
      <c r="A829" s="45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42"/>
      <c r="U829" s="43"/>
      <c r="V829" s="44"/>
      <c r="W829" s="45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</row>
    <row r="830" spans="1:48" ht="13.5" customHeight="1">
      <c r="A830" s="45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42"/>
      <c r="U830" s="43"/>
      <c r="V830" s="44"/>
      <c r="W830" s="45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</row>
    <row r="831" spans="1:48" ht="13.5" customHeight="1">
      <c r="A831" s="45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42"/>
      <c r="U831" s="43"/>
      <c r="V831" s="44"/>
      <c r="W831" s="45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</row>
    <row r="832" spans="1:48" ht="13.5" customHeight="1">
      <c r="A832" s="45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42"/>
      <c r="U832" s="43"/>
      <c r="V832" s="44"/>
      <c r="W832" s="45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</row>
    <row r="833" spans="1:48" ht="13.5" customHeight="1">
      <c r="A833" s="45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42"/>
      <c r="U833" s="43"/>
      <c r="V833" s="44"/>
      <c r="W833" s="45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</row>
    <row r="834" spans="1:48" ht="13.5" customHeight="1">
      <c r="A834" s="45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42"/>
      <c r="U834" s="43"/>
      <c r="V834" s="44"/>
      <c r="W834" s="45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</row>
    <row r="835" spans="1:48" ht="13.5" customHeight="1">
      <c r="A835" s="45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42"/>
      <c r="U835" s="43"/>
      <c r="V835" s="44"/>
      <c r="W835" s="45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</row>
    <row r="836" spans="1:48" ht="13.5" customHeight="1">
      <c r="A836" s="45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42"/>
      <c r="U836" s="43"/>
      <c r="V836" s="44"/>
      <c r="W836" s="45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</row>
    <row r="837" spans="1:48" ht="13.5" customHeight="1">
      <c r="A837" s="45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42"/>
      <c r="U837" s="43"/>
      <c r="V837" s="44"/>
      <c r="W837" s="45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</row>
    <row r="838" spans="1:48" ht="13.5" customHeight="1">
      <c r="A838" s="45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42"/>
      <c r="U838" s="43"/>
      <c r="V838" s="44"/>
      <c r="W838" s="45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</row>
    <row r="839" spans="1:48" ht="13.5" customHeight="1">
      <c r="A839" s="45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42"/>
      <c r="U839" s="43"/>
      <c r="V839" s="44"/>
      <c r="W839" s="45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</row>
    <row r="840" spans="1:48" ht="13.5" customHeight="1">
      <c r="A840" s="45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42"/>
      <c r="U840" s="43"/>
      <c r="V840" s="44"/>
      <c r="W840" s="45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</row>
    <row r="841" spans="1:48" ht="13.5" customHeight="1">
      <c r="A841" s="45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42"/>
      <c r="U841" s="43"/>
      <c r="V841" s="44"/>
      <c r="W841" s="45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</row>
    <row r="842" spans="1:48" ht="13.5" customHeight="1">
      <c r="A842" s="45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42"/>
      <c r="U842" s="43"/>
      <c r="V842" s="44"/>
      <c r="W842" s="45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</row>
    <row r="843" spans="1:48" ht="13.5" customHeight="1">
      <c r="A843" s="45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42"/>
      <c r="U843" s="43"/>
      <c r="V843" s="44"/>
      <c r="W843" s="45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</row>
    <row r="844" spans="1:48" ht="13.5" customHeight="1">
      <c r="A844" s="45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42"/>
      <c r="U844" s="43"/>
      <c r="V844" s="44"/>
      <c r="W844" s="45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</row>
    <row r="845" spans="1:48" ht="13.5" customHeight="1">
      <c r="A845" s="45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42"/>
      <c r="U845" s="43"/>
      <c r="V845" s="44"/>
      <c r="W845" s="45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</row>
    <row r="846" spans="1:48" ht="13.5" customHeight="1">
      <c r="A846" s="45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42"/>
      <c r="U846" s="43"/>
      <c r="V846" s="44"/>
      <c r="W846" s="45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</row>
    <row r="847" spans="1:48" ht="13.5" customHeight="1">
      <c r="A847" s="45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42"/>
      <c r="U847" s="43"/>
      <c r="V847" s="44"/>
      <c r="W847" s="45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</row>
    <row r="848" spans="1:48" ht="13.5" customHeight="1">
      <c r="A848" s="45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42"/>
      <c r="U848" s="43"/>
      <c r="V848" s="44"/>
      <c r="W848" s="45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</row>
    <row r="849" spans="1:48" ht="13.5" customHeight="1">
      <c r="A849" s="45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42"/>
      <c r="U849" s="43"/>
      <c r="V849" s="44"/>
      <c r="W849" s="45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</row>
    <row r="850" spans="1:48" ht="13.5" customHeight="1">
      <c r="A850" s="45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42"/>
      <c r="U850" s="43"/>
      <c r="V850" s="44"/>
      <c r="W850" s="45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</row>
    <row r="851" spans="1:48" ht="13.5" customHeight="1">
      <c r="A851" s="45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42"/>
      <c r="U851" s="43"/>
      <c r="V851" s="44"/>
      <c r="W851" s="45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</row>
    <row r="852" spans="1:48" ht="13.5" customHeight="1">
      <c r="A852" s="45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42"/>
      <c r="U852" s="43"/>
      <c r="V852" s="44"/>
      <c r="W852" s="45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</row>
    <row r="853" spans="1:48" ht="13.5" customHeight="1">
      <c r="A853" s="45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42"/>
      <c r="U853" s="43"/>
      <c r="V853" s="44"/>
      <c r="W853" s="45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</row>
    <row r="854" spans="1:48" ht="13.5" customHeight="1">
      <c r="A854" s="45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42"/>
      <c r="U854" s="43"/>
      <c r="V854" s="44"/>
      <c r="W854" s="45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</row>
    <row r="855" spans="1:48" ht="13.5" customHeight="1">
      <c r="A855" s="45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42"/>
      <c r="U855" s="43"/>
      <c r="V855" s="44"/>
      <c r="W855" s="45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</row>
    <row r="856" spans="1:48" ht="13.5" customHeight="1">
      <c r="A856" s="45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42"/>
      <c r="U856" s="43"/>
      <c r="V856" s="44"/>
      <c r="W856" s="45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</row>
    <row r="857" spans="1:48" ht="13.5" customHeight="1">
      <c r="A857" s="45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42"/>
      <c r="U857" s="43"/>
      <c r="V857" s="44"/>
      <c r="W857" s="45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</row>
    <row r="858" spans="1:48" ht="13.5" customHeight="1">
      <c r="A858" s="45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42"/>
      <c r="U858" s="43"/>
      <c r="V858" s="44"/>
      <c r="W858" s="45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</row>
    <row r="859" spans="1:48" ht="13.5" customHeight="1">
      <c r="A859" s="45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42"/>
      <c r="U859" s="43"/>
      <c r="V859" s="44"/>
      <c r="W859" s="45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</row>
    <row r="860" spans="1:48" ht="13.5" customHeight="1">
      <c r="A860" s="45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42"/>
      <c r="U860" s="43"/>
      <c r="V860" s="44"/>
      <c r="W860" s="45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</row>
    <row r="861" spans="1:48" ht="13.5" customHeight="1">
      <c r="A861" s="45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42"/>
      <c r="U861" s="43"/>
      <c r="V861" s="44"/>
      <c r="W861" s="45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</row>
    <row r="862" spans="1:48" ht="13.5" customHeight="1">
      <c r="A862" s="45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42"/>
      <c r="U862" s="43"/>
      <c r="V862" s="44"/>
      <c r="W862" s="45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</row>
    <row r="863" spans="1:48" ht="13.5" customHeight="1">
      <c r="A863" s="45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42"/>
      <c r="U863" s="43"/>
      <c r="V863" s="44"/>
      <c r="W863" s="45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</row>
    <row r="864" spans="1:48" ht="13.5" customHeight="1">
      <c r="A864" s="45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42"/>
      <c r="U864" s="43"/>
      <c r="V864" s="44"/>
      <c r="W864" s="45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</row>
    <row r="865" spans="1:48" ht="13.5" customHeight="1">
      <c r="A865" s="45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42"/>
      <c r="U865" s="43"/>
      <c r="V865" s="44"/>
      <c r="W865" s="45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</row>
    <row r="866" spans="1:48" ht="13.5" customHeight="1">
      <c r="A866" s="45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42"/>
      <c r="U866" s="43"/>
      <c r="V866" s="44"/>
      <c r="W866" s="45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</row>
    <row r="867" spans="1:48" ht="13.5" customHeight="1">
      <c r="A867" s="45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42"/>
      <c r="U867" s="43"/>
      <c r="V867" s="44"/>
      <c r="W867" s="45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</row>
    <row r="868" spans="1:48" ht="13.5" customHeight="1">
      <c r="A868" s="45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42"/>
      <c r="U868" s="43"/>
      <c r="V868" s="44"/>
      <c r="W868" s="45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</row>
    <row r="869" spans="1:48" ht="13.5" customHeight="1">
      <c r="A869" s="45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42"/>
      <c r="U869" s="43"/>
      <c r="V869" s="44"/>
      <c r="W869" s="45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</row>
    <row r="870" spans="1:48" ht="13.5" customHeight="1">
      <c r="A870" s="45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42"/>
      <c r="U870" s="43"/>
      <c r="V870" s="44"/>
      <c r="W870" s="45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</row>
    <row r="871" spans="1:48" ht="13.5" customHeight="1">
      <c r="A871" s="45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42"/>
      <c r="U871" s="43"/>
      <c r="V871" s="44"/>
      <c r="W871" s="45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</row>
    <row r="872" spans="1:48" ht="13.5" customHeight="1">
      <c r="A872" s="45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42"/>
      <c r="U872" s="43"/>
      <c r="V872" s="44"/>
      <c r="W872" s="45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</row>
    <row r="873" spans="1:48" ht="13.5" customHeight="1">
      <c r="A873" s="45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42"/>
      <c r="U873" s="43"/>
      <c r="V873" s="44"/>
      <c r="W873" s="45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</row>
    <row r="874" spans="1:48" ht="13.5" customHeight="1">
      <c r="A874" s="45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42"/>
      <c r="U874" s="43"/>
      <c r="V874" s="44"/>
      <c r="W874" s="45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</row>
    <row r="875" spans="1:48" ht="13.5" customHeight="1">
      <c r="A875" s="45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42"/>
      <c r="U875" s="43"/>
      <c r="V875" s="44"/>
      <c r="W875" s="45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</row>
    <row r="876" spans="1:48" ht="13.5" customHeight="1">
      <c r="A876" s="45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42"/>
      <c r="U876" s="43"/>
      <c r="V876" s="44"/>
      <c r="W876" s="45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</row>
    <row r="877" spans="1:48" ht="13.5" customHeight="1">
      <c r="A877" s="45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42"/>
      <c r="U877" s="43"/>
      <c r="V877" s="44"/>
      <c r="W877" s="45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</row>
    <row r="878" spans="1:48" ht="13.5" customHeight="1">
      <c r="A878" s="45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42"/>
      <c r="U878" s="43"/>
      <c r="V878" s="44"/>
      <c r="W878" s="45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</row>
    <row r="879" spans="1:48" ht="13.5" customHeight="1">
      <c r="A879" s="45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42"/>
      <c r="U879" s="43"/>
      <c r="V879" s="44"/>
      <c r="W879" s="45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</row>
    <row r="880" spans="1:48" ht="13.5" customHeight="1">
      <c r="A880" s="45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42"/>
      <c r="U880" s="43"/>
      <c r="V880" s="44"/>
      <c r="W880" s="45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</row>
    <row r="881" spans="1:48" ht="13.5" customHeight="1">
      <c r="A881" s="45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42"/>
      <c r="U881" s="43"/>
      <c r="V881" s="44"/>
      <c r="W881" s="45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</row>
    <row r="882" spans="1:48" ht="13.5" customHeight="1">
      <c r="A882" s="45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42"/>
      <c r="U882" s="43"/>
      <c r="V882" s="44"/>
      <c r="W882" s="45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</row>
    <row r="883" spans="1:48" ht="13.5" customHeight="1">
      <c r="A883" s="45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42"/>
      <c r="U883" s="43"/>
      <c r="V883" s="44"/>
      <c r="W883" s="45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</row>
    <row r="884" spans="1:48" ht="13.5" customHeight="1">
      <c r="A884" s="45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42"/>
      <c r="U884" s="43"/>
      <c r="V884" s="44"/>
      <c r="W884" s="45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</row>
    <row r="885" spans="1:48" ht="13.5" customHeight="1">
      <c r="A885" s="45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42"/>
      <c r="U885" s="43"/>
      <c r="V885" s="44"/>
      <c r="W885" s="45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</row>
    <row r="886" spans="1:48" ht="13.5" customHeight="1">
      <c r="A886" s="45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42"/>
      <c r="U886" s="43"/>
      <c r="V886" s="44"/>
      <c r="W886" s="45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</row>
    <row r="887" spans="1:48" ht="13.5" customHeight="1">
      <c r="A887" s="45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42"/>
      <c r="U887" s="43"/>
      <c r="V887" s="44"/>
      <c r="W887" s="45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</row>
    <row r="888" spans="1:48" ht="13.5" customHeight="1">
      <c r="A888" s="45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42"/>
      <c r="U888" s="43"/>
      <c r="V888" s="44"/>
      <c r="W888" s="45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</row>
    <row r="889" spans="1:48" ht="13.5" customHeight="1">
      <c r="A889" s="45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42"/>
      <c r="U889" s="43"/>
      <c r="V889" s="44"/>
      <c r="W889" s="45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</row>
    <row r="890" spans="1:48" ht="13.5" customHeight="1">
      <c r="A890" s="45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42"/>
      <c r="U890" s="43"/>
      <c r="V890" s="44"/>
      <c r="W890" s="45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</row>
    <row r="891" spans="1:48" ht="13.5" customHeight="1">
      <c r="A891" s="45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42"/>
      <c r="U891" s="43"/>
      <c r="V891" s="44"/>
      <c r="W891" s="45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</row>
    <row r="892" spans="1:48" ht="13.5" customHeight="1">
      <c r="A892" s="45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42"/>
      <c r="U892" s="43"/>
      <c r="V892" s="44"/>
      <c r="W892" s="45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</row>
    <row r="893" spans="1:48" ht="13.5" customHeight="1">
      <c r="A893" s="45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42"/>
      <c r="U893" s="43"/>
      <c r="V893" s="44"/>
      <c r="W893" s="45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</row>
    <row r="894" spans="1:48" ht="13.5" customHeight="1">
      <c r="A894" s="45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42"/>
      <c r="U894" s="43"/>
      <c r="V894" s="44"/>
      <c r="W894" s="45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</row>
    <row r="895" spans="1:48" ht="13.5" customHeight="1">
      <c r="A895" s="45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42"/>
      <c r="U895" s="43"/>
      <c r="V895" s="44"/>
      <c r="W895" s="45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</row>
    <row r="896" spans="1:48" ht="13.5" customHeight="1">
      <c r="A896" s="45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42"/>
      <c r="U896" s="43"/>
      <c r="V896" s="44"/>
      <c r="W896" s="45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</row>
    <row r="897" spans="1:48" ht="13.5" customHeight="1">
      <c r="A897" s="45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42"/>
      <c r="U897" s="43"/>
      <c r="V897" s="44"/>
      <c r="W897" s="45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</row>
    <row r="898" spans="1:48" ht="13.5" customHeight="1">
      <c r="A898" s="45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42"/>
      <c r="U898" s="43"/>
      <c r="V898" s="44"/>
      <c r="W898" s="45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</row>
    <row r="899" spans="1:48" ht="13.5" customHeight="1">
      <c r="A899" s="45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42"/>
      <c r="U899" s="43"/>
      <c r="V899" s="44"/>
      <c r="W899" s="45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</row>
    <row r="900" spans="1:48" ht="13.5" customHeight="1">
      <c r="A900" s="45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42"/>
      <c r="U900" s="43"/>
      <c r="V900" s="44"/>
      <c r="W900" s="45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</row>
    <row r="901" spans="1:48" ht="13.5" customHeight="1">
      <c r="A901" s="45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42"/>
      <c r="U901" s="43"/>
      <c r="V901" s="44"/>
      <c r="W901" s="45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</row>
    <row r="902" spans="1:48" ht="13.5" customHeight="1">
      <c r="A902" s="45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42"/>
      <c r="U902" s="43"/>
      <c r="V902" s="44"/>
      <c r="W902" s="45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</row>
    <row r="903" spans="1:48" ht="13.5" customHeight="1">
      <c r="A903" s="45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42"/>
      <c r="U903" s="43"/>
      <c r="V903" s="44"/>
      <c r="W903" s="45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</row>
    <row r="904" spans="1:48" ht="13.5" customHeight="1">
      <c r="A904" s="45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42"/>
      <c r="U904" s="43"/>
      <c r="V904" s="44"/>
      <c r="W904" s="45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</row>
    <row r="905" spans="1:48" ht="13.5" customHeight="1">
      <c r="A905" s="45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42"/>
      <c r="U905" s="43"/>
      <c r="V905" s="44"/>
      <c r="W905" s="45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</row>
    <row r="906" spans="1:48" ht="13.5" customHeight="1">
      <c r="A906" s="45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42"/>
      <c r="U906" s="43"/>
      <c r="V906" s="44"/>
      <c r="W906" s="45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</row>
    <row r="907" spans="1:48" ht="13.5" customHeight="1">
      <c r="A907" s="45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42"/>
      <c r="U907" s="43"/>
      <c r="V907" s="44"/>
      <c r="W907" s="45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</row>
    <row r="908" spans="1:48" ht="13.5" customHeight="1">
      <c r="A908" s="45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42"/>
      <c r="U908" s="43"/>
      <c r="V908" s="44"/>
      <c r="W908" s="45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</row>
    <row r="909" spans="1:48" ht="13.5" customHeight="1">
      <c r="A909" s="45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42"/>
      <c r="U909" s="43"/>
      <c r="V909" s="44"/>
      <c r="W909" s="45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</row>
    <row r="910" spans="1:48" ht="13.5" customHeight="1">
      <c r="A910" s="45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42"/>
      <c r="U910" s="43"/>
      <c r="V910" s="44"/>
      <c r="W910" s="45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</row>
    <row r="911" spans="1:48" ht="13.5" customHeight="1">
      <c r="A911" s="45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42"/>
      <c r="U911" s="43"/>
      <c r="V911" s="44"/>
      <c r="W911" s="45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</row>
    <row r="912" spans="1:48" ht="13.5" customHeight="1">
      <c r="A912" s="45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42"/>
      <c r="U912" s="43"/>
      <c r="V912" s="44"/>
      <c r="W912" s="45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</row>
    <row r="913" spans="1:48" ht="13.5" customHeight="1">
      <c r="A913" s="45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42"/>
      <c r="U913" s="43"/>
      <c r="V913" s="44"/>
      <c r="W913" s="45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</row>
    <row r="914" spans="1:48" ht="13.5" customHeight="1">
      <c r="A914" s="45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42"/>
      <c r="U914" s="43"/>
      <c r="V914" s="44"/>
      <c r="W914" s="45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</row>
    <row r="915" spans="1:48" ht="13.5" customHeight="1">
      <c r="A915" s="45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42"/>
      <c r="U915" s="43"/>
      <c r="V915" s="44"/>
      <c r="W915" s="45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</row>
    <row r="916" spans="1:48" ht="13.5" customHeight="1">
      <c r="A916" s="45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42"/>
      <c r="U916" s="43"/>
      <c r="V916" s="44"/>
      <c r="W916" s="45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</row>
    <row r="917" spans="1:48" ht="13.5" customHeight="1">
      <c r="A917" s="45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42"/>
      <c r="U917" s="43"/>
      <c r="V917" s="44"/>
      <c r="W917" s="45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</row>
    <row r="918" spans="1:48" ht="13.5" customHeight="1">
      <c r="A918" s="45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42"/>
      <c r="U918" s="43"/>
      <c r="V918" s="44"/>
      <c r="W918" s="45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</row>
    <row r="919" spans="1:48" ht="13.5" customHeight="1">
      <c r="A919" s="45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42"/>
      <c r="U919" s="43"/>
      <c r="V919" s="44"/>
      <c r="W919" s="45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</row>
    <row r="920" spans="1:48" ht="13.5" customHeight="1">
      <c r="A920" s="45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42"/>
      <c r="U920" s="43"/>
      <c r="V920" s="44"/>
      <c r="W920" s="45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</row>
    <row r="921" spans="1:48" ht="13.5" customHeight="1">
      <c r="A921" s="45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42"/>
      <c r="U921" s="43"/>
      <c r="V921" s="44"/>
      <c r="W921" s="45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</row>
    <row r="922" spans="1:48" ht="13.5" customHeight="1">
      <c r="A922" s="45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42"/>
      <c r="U922" s="43"/>
      <c r="V922" s="44"/>
      <c r="W922" s="45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</row>
    <row r="923" spans="1:48" ht="13.5" customHeight="1">
      <c r="A923" s="45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42"/>
      <c r="U923" s="43"/>
      <c r="V923" s="44"/>
      <c r="W923" s="45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</row>
    <row r="924" spans="1:48" ht="13.5" customHeight="1">
      <c r="A924" s="45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42"/>
      <c r="U924" s="43"/>
      <c r="V924" s="44"/>
      <c r="W924" s="45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</row>
    <row r="925" spans="1:48" ht="13.5" customHeight="1">
      <c r="A925" s="45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42"/>
      <c r="U925" s="43"/>
      <c r="V925" s="44"/>
      <c r="W925" s="45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</row>
    <row r="926" spans="1:48" ht="13.5" customHeight="1">
      <c r="A926" s="45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42"/>
      <c r="U926" s="43"/>
      <c r="V926" s="44"/>
      <c r="W926" s="45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</row>
    <row r="927" spans="1:48" ht="13.5" customHeight="1">
      <c r="A927" s="45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42"/>
      <c r="U927" s="43"/>
      <c r="V927" s="44"/>
      <c r="W927" s="45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</row>
    <row r="928" spans="1:48" ht="13.5" customHeight="1">
      <c r="A928" s="45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42"/>
      <c r="U928" s="43"/>
      <c r="V928" s="44"/>
      <c r="W928" s="45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</row>
    <row r="929" spans="1:48" ht="13.5" customHeight="1">
      <c r="A929" s="45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42"/>
      <c r="U929" s="43"/>
      <c r="V929" s="44"/>
      <c r="W929" s="45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</row>
    <row r="930" spans="1:48" ht="13.5" customHeight="1">
      <c r="A930" s="45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42"/>
      <c r="U930" s="43"/>
      <c r="V930" s="44"/>
      <c r="W930" s="45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</row>
    <row r="931" spans="1:48" ht="13.5" customHeight="1">
      <c r="A931" s="45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42"/>
      <c r="U931" s="43"/>
      <c r="V931" s="44"/>
      <c r="W931" s="45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</row>
    <row r="932" spans="1:48" ht="13.5" customHeight="1">
      <c r="A932" s="45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42"/>
      <c r="U932" s="43"/>
      <c r="V932" s="44"/>
      <c r="W932" s="45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</row>
    <row r="933" spans="1:48" ht="13.5" customHeight="1">
      <c r="A933" s="45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42"/>
      <c r="U933" s="43"/>
      <c r="V933" s="44"/>
      <c r="W933" s="45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</row>
    <row r="934" spans="1:48" ht="13.5" customHeight="1">
      <c r="A934" s="45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42"/>
      <c r="U934" s="43"/>
      <c r="V934" s="44"/>
      <c r="W934" s="45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</row>
    <row r="935" spans="1:48" ht="13.5" customHeight="1">
      <c r="A935" s="45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42"/>
      <c r="U935" s="43"/>
      <c r="V935" s="44"/>
      <c r="W935" s="45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</row>
    <row r="936" spans="1:48" ht="13.5" customHeight="1">
      <c r="A936" s="45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42"/>
      <c r="U936" s="43"/>
      <c r="V936" s="44"/>
      <c r="W936" s="45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</row>
    <row r="937" spans="1:48" ht="13.5" customHeight="1">
      <c r="A937" s="45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42"/>
      <c r="U937" s="43"/>
      <c r="V937" s="44"/>
      <c r="W937" s="45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</row>
    <row r="938" spans="1:48" ht="13.5" customHeight="1">
      <c r="A938" s="45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42"/>
      <c r="U938" s="43"/>
      <c r="V938" s="44"/>
      <c r="W938" s="45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</row>
    <row r="939" spans="1:48" ht="13.5" customHeight="1">
      <c r="A939" s="45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42"/>
      <c r="U939" s="43"/>
      <c r="V939" s="44"/>
      <c r="W939" s="45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</row>
    <row r="940" spans="1:48" ht="13.5" customHeight="1">
      <c r="A940" s="45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42"/>
      <c r="U940" s="43"/>
      <c r="V940" s="44"/>
      <c r="W940" s="45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</row>
    <row r="941" spans="1:48" ht="13.5" customHeight="1">
      <c r="A941" s="45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42"/>
      <c r="U941" s="43"/>
      <c r="V941" s="44"/>
      <c r="W941" s="45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</row>
    <row r="942" spans="1:48" ht="13.5" customHeight="1">
      <c r="A942" s="45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42"/>
      <c r="U942" s="43"/>
      <c r="V942" s="44"/>
      <c r="W942" s="45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</row>
    <row r="943" spans="1:48" ht="13.5" customHeight="1">
      <c r="A943" s="45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42"/>
      <c r="U943" s="43"/>
      <c r="V943" s="44"/>
      <c r="W943" s="45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</row>
    <row r="944" spans="1:48" ht="13.5" customHeight="1">
      <c r="A944" s="45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42"/>
      <c r="U944" s="43"/>
      <c r="V944" s="44"/>
      <c r="W944" s="45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</row>
    <row r="945" spans="1:48" ht="13.5" customHeight="1">
      <c r="A945" s="45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42"/>
      <c r="U945" s="43"/>
      <c r="V945" s="44"/>
      <c r="W945" s="45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</row>
    <row r="946" spans="1:48" ht="13.5" customHeight="1">
      <c r="A946" s="45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42"/>
      <c r="U946" s="43"/>
      <c r="V946" s="44"/>
      <c r="W946" s="45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</row>
    <row r="947" spans="1:48" ht="13.5" customHeight="1">
      <c r="A947" s="45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42"/>
      <c r="U947" s="43"/>
      <c r="V947" s="44"/>
      <c r="W947" s="45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</row>
    <row r="948" spans="1:48" ht="13.5" customHeight="1">
      <c r="A948" s="45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42"/>
      <c r="U948" s="43"/>
      <c r="V948" s="44"/>
      <c r="W948" s="45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</row>
    <row r="949" spans="1:48" ht="13.5" customHeight="1">
      <c r="A949" s="45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42"/>
      <c r="U949" s="43"/>
      <c r="V949" s="44"/>
      <c r="W949" s="45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</row>
    <row r="950" spans="1:48" ht="13.5" customHeight="1">
      <c r="A950" s="45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42"/>
      <c r="U950" s="43"/>
      <c r="V950" s="44"/>
      <c r="W950" s="45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</row>
    <row r="951" spans="1:48" ht="13.5" customHeight="1">
      <c r="A951" s="45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42"/>
      <c r="U951" s="43"/>
      <c r="V951" s="44"/>
      <c r="W951" s="45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</row>
    <row r="952" spans="1:48" ht="13.5" customHeight="1">
      <c r="A952" s="45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42"/>
      <c r="U952" s="43"/>
      <c r="V952" s="44"/>
      <c r="W952" s="45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</row>
    <row r="953" spans="1:48" ht="13.5" customHeight="1">
      <c r="A953" s="45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42"/>
      <c r="U953" s="43"/>
      <c r="V953" s="44"/>
      <c r="W953" s="45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</row>
    <row r="954" spans="1:48" ht="13.5" customHeight="1">
      <c r="A954" s="45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42"/>
      <c r="U954" s="43"/>
      <c r="V954" s="44"/>
      <c r="W954" s="45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</row>
    <row r="955" spans="1:48" ht="13.5" customHeight="1">
      <c r="A955" s="45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42"/>
      <c r="U955" s="43"/>
      <c r="V955" s="44"/>
      <c r="W955" s="45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</row>
    <row r="956" spans="1:48" ht="13.5" customHeight="1">
      <c r="A956" s="45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42"/>
      <c r="U956" s="43"/>
      <c r="V956" s="44"/>
      <c r="W956" s="45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</row>
    <row r="957" spans="1:48" ht="13.5" customHeight="1">
      <c r="A957" s="45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42"/>
      <c r="U957" s="43"/>
      <c r="V957" s="44"/>
      <c r="W957" s="45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</row>
    <row r="958" spans="1:48" ht="13.5" customHeight="1">
      <c r="A958" s="45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42"/>
      <c r="U958" s="43"/>
      <c r="V958" s="44"/>
      <c r="W958" s="45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</row>
    <row r="959" spans="1:48" ht="13.5" customHeight="1">
      <c r="A959" s="45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42"/>
      <c r="U959" s="43"/>
      <c r="V959" s="44"/>
      <c r="W959" s="45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</row>
    <row r="960" spans="1:48" ht="13.5" customHeight="1">
      <c r="A960" s="45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42"/>
      <c r="U960" s="43"/>
      <c r="V960" s="44"/>
      <c r="W960" s="45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</row>
    <row r="961" spans="1:48" ht="13.5" customHeight="1">
      <c r="A961" s="45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42"/>
      <c r="U961" s="43"/>
      <c r="V961" s="44"/>
      <c r="W961" s="45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</row>
    <row r="962" spans="1:48" ht="13.5" customHeight="1">
      <c r="A962" s="45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42"/>
      <c r="U962" s="43"/>
      <c r="V962" s="44"/>
      <c r="W962" s="45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</row>
    <row r="963" spans="1:48" ht="13.5" customHeight="1">
      <c r="A963" s="45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42"/>
      <c r="U963" s="43"/>
      <c r="V963" s="44"/>
      <c r="W963" s="45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</row>
    <row r="964" spans="1:48" ht="13.5" customHeight="1">
      <c r="A964" s="45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42"/>
      <c r="U964" s="43"/>
      <c r="V964" s="44"/>
      <c r="W964" s="45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</row>
    <row r="965" spans="1:48" ht="13.5" customHeight="1">
      <c r="A965" s="45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42"/>
      <c r="U965" s="43"/>
      <c r="V965" s="44"/>
      <c r="W965" s="45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</row>
    <row r="966" spans="1:48" ht="13.5" customHeight="1">
      <c r="A966" s="45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42"/>
      <c r="U966" s="43"/>
      <c r="V966" s="44"/>
      <c r="W966" s="45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</row>
    <row r="967" spans="1:48" ht="13.5" customHeight="1">
      <c r="A967" s="45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42"/>
      <c r="U967" s="43"/>
      <c r="V967" s="44"/>
      <c r="W967" s="45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</row>
    <row r="968" spans="1:48" ht="13.5" customHeight="1">
      <c r="A968" s="45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42"/>
      <c r="U968" s="43"/>
      <c r="V968" s="44"/>
      <c r="W968" s="45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</row>
    <row r="969" spans="1:48" ht="13.5" customHeight="1">
      <c r="A969" s="45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42"/>
      <c r="U969" s="43"/>
      <c r="V969" s="44"/>
      <c r="W969" s="45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</row>
    <row r="970" spans="1:48" ht="13.5" customHeight="1">
      <c r="A970" s="45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42"/>
      <c r="U970" s="43"/>
      <c r="V970" s="44"/>
      <c r="W970" s="45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</row>
    <row r="971" spans="1:48" ht="13.5" customHeight="1">
      <c r="A971" s="45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42"/>
      <c r="U971" s="43"/>
      <c r="V971" s="44"/>
      <c r="W971" s="45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</row>
    <row r="972" spans="1:48" ht="13.5" customHeight="1">
      <c r="A972" s="45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42"/>
      <c r="U972" s="43"/>
      <c r="V972" s="44"/>
      <c r="W972" s="45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</row>
    <row r="973" spans="1:48" ht="13.5" customHeight="1">
      <c r="A973" s="45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42"/>
      <c r="U973" s="43"/>
      <c r="V973" s="44"/>
      <c r="W973" s="45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</row>
    <row r="974" spans="1:48" ht="13.5" customHeight="1">
      <c r="A974" s="45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42"/>
      <c r="U974" s="43"/>
      <c r="V974" s="44"/>
      <c r="W974" s="45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</row>
    <row r="975" spans="1:48" ht="13.5" customHeight="1">
      <c r="A975" s="45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42"/>
      <c r="U975" s="43"/>
      <c r="V975" s="44"/>
      <c r="W975" s="45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</row>
    <row r="976" spans="1:48" ht="13.5" customHeight="1">
      <c r="A976" s="45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42"/>
      <c r="U976" s="43"/>
      <c r="V976" s="44"/>
      <c r="W976" s="45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</row>
    <row r="977" spans="1:48" ht="13.5" customHeight="1">
      <c r="A977" s="45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42"/>
      <c r="U977" s="43"/>
      <c r="V977" s="44"/>
      <c r="W977" s="45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</row>
    <row r="978" spans="1:48" ht="13.5" customHeight="1">
      <c r="A978" s="45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42"/>
      <c r="U978" s="43"/>
      <c r="V978" s="44"/>
      <c r="W978" s="45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</row>
    <row r="979" spans="1:48" ht="13.5" customHeight="1">
      <c r="A979" s="45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42"/>
      <c r="U979" s="43"/>
      <c r="V979" s="44"/>
      <c r="W979" s="45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</row>
    <row r="980" spans="1:48" ht="13.5" customHeight="1">
      <c r="A980" s="45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42"/>
      <c r="U980" s="43"/>
      <c r="V980" s="44"/>
      <c r="W980" s="45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</row>
    <row r="981" spans="1:48" ht="13.5" customHeight="1">
      <c r="A981" s="45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42"/>
      <c r="U981" s="43"/>
      <c r="V981" s="44"/>
      <c r="W981" s="45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</row>
    <row r="982" spans="1:48" ht="13.5" customHeight="1">
      <c r="A982" s="45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42"/>
      <c r="U982" s="43"/>
      <c r="V982" s="44"/>
      <c r="W982" s="45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</row>
    <row r="983" spans="1:48" ht="13.5" customHeight="1">
      <c r="A983" s="45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42"/>
      <c r="U983" s="43"/>
      <c r="V983" s="44"/>
      <c r="W983" s="45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</row>
    <row r="984" spans="1:48" ht="13.5" customHeight="1">
      <c r="A984" s="45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42"/>
      <c r="U984" s="43"/>
      <c r="V984" s="44"/>
      <c r="W984" s="45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</row>
    <row r="985" spans="1:48" ht="13.5" customHeight="1">
      <c r="A985" s="45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42"/>
      <c r="U985" s="43"/>
      <c r="V985" s="44"/>
      <c r="W985" s="45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</row>
    <row r="986" spans="1:48" ht="13.5" customHeight="1">
      <c r="A986" s="45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42"/>
      <c r="U986" s="43"/>
      <c r="V986" s="44"/>
      <c r="W986" s="45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</row>
    <row r="987" spans="1:48" ht="13.5" customHeight="1">
      <c r="A987" s="45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42"/>
      <c r="U987" s="43"/>
      <c r="V987" s="44"/>
      <c r="W987" s="45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</row>
    <row r="988" spans="1:48" ht="13.5" customHeight="1">
      <c r="A988" s="45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42"/>
      <c r="U988" s="43"/>
      <c r="V988" s="44"/>
      <c r="W988" s="45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</row>
    <row r="989" spans="1:48" ht="13.5" customHeight="1">
      <c r="A989" s="45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42"/>
      <c r="U989" s="43"/>
      <c r="V989" s="44"/>
      <c r="W989" s="45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</row>
    <row r="990" spans="1:48" ht="13.5" customHeight="1">
      <c r="A990" s="45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42"/>
      <c r="U990" s="43"/>
      <c r="V990" s="44"/>
      <c r="W990" s="45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</row>
    <row r="991" spans="1:48" ht="13.5" customHeight="1">
      <c r="A991" s="45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42"/>
      <c r="U991" s="43"/>
      <c r="V991" s="44"/>
      <c r="W991" s="45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</row>
    <row r="992" spans="1:48" ht="13.5" customHeight="1">
      <c r="A992" s="45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42"/>
      <c r="U992" s="43"/>
      <c r="V992" s="44"/>
      <c r="W992" s="45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</row>
    <row r="993" spans="1:48" ht="13.5" customHeight="1">
      <c r="A993" s="45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42"/>
      <c r="U993" s="43"/>
      <c r="V993" s="44"/>
      <c r="W993" s="45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</row>
    <row r="994" spans="1:48" ht="13.5" customHeight="1">
      <c r="A994" s="45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42"/>
      <c r="U994" s="43"/>
      <c r="V994" s="44"/>
      <c r="W994" s="45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</row>
    <row r="995" spans="1:48" ht="13.5" customHeight="1">
      <c r="A995" s="45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42"/>
      <c r="U995" s="43"/>
      <c r="V995" s="44"/>
      <c r="W995" s="45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</row>
    <row r="996" spans="1:48" ht="13.5" customHeight="1">
      <c r="A996" s="45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42"/>
      <c r="U996" s="43"/>
      <c r="V996" s="44"/>
      <c r="W996" s="45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</row>
    <row r="997" spans="1:48" ht="13.5" customHeight="1">
      <c r="A997" s="45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42"/>
      <c r="U997" s="43"/>
      <c r="V997" s="44"/>
      <c r="W997" s="45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</row>
    <row r="998" spans="1:48" ht="13.5" customHeight="1">
      <c r="A998" s="45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42"/>
      <c r="U998" s="43"/>
      <c r="V998" s="44"/>
      <c r="W998" s="45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</row>
    <row r="999" spans="1:48" ht="13.5" customHeight="1">
      <c r="A999" s="45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42"/>
      <c r="U999" s="43"/>
      <c r="V999" s="44"/>
      <c r="W999" s="45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</row>
    <row r="1000" spans="1:48" ht="13.5" customHeight="1">
      <c r="A1000" s="45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42"/>
      <c r="U1000" s="43"/>
      <c r="V1000" s="44"/>
      <c r="W1000" s="45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</row>
    <row r="1001" spans="1:48" ht="13.5" customHeight="1">
      <c r="A1001" s="45"/>
      <c r="B1001" s="103"/>
      <c r="C1001" s="103"/>
      <c r="D1001" s="103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42"/>
      <c r="U1001" s="43"/>
      <c r="V1001" s="44"/>
      <c r="W1001" s="45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</row>
    <row r="1002" spans="1:48" ht="13.5" customHeight="1">
      <c r="A1002" s="45"/>
      <c r="B1002" s="103"/>
      <c r="C1002" s="103"/>
      <c r="D1002" s="103"/>
      <c r="E1002" s="103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42"/>
      <c r="U1002" s="43"/>
      <c r="V1002" s="44"/>
      <c r="W1002" s="45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</row>
    <row r="1003" spans="1:48" ht="13.5" customHeight="1">
      <c r="A1003" s="45"/>
      <c r="B1003" s="103"/>
      <c r="C1003" s="103"/>
      <c r="D1003" s="103"/>
      <c r="E1003" s="103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42"/>
      <c r="U1003" s="43"/>
      <c r="V1003" s="44"/>
      <c r="W1003" s="45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</row>
    <row r="1004" spans="1:48" ht="13.5" customHeight="1">
      <c r="A1004" s="45"/>
      <c r="B1004" s="103"/>
      <c r="C1004" s="103"/>
      <c r="D1004" s="103"/>
      <c r="E1004" s="103"/>
      <c r="F1004" s="103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42"/>
      <c r="U1004" s="43"/>
      <c r="V1004" s="44"/>
      <c r="W1004" s="45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</row>
    <row r="1005" spans="1:48" ht="13.5" customHeight="1">
      <c r="A1005" s="45"/>
      <c r="B1005" s="103"/>
      <c r="C1005" s="103"/>
      <c r="D1005" s="103"/>
      <c r="E1005" s="103"/>
      <c r="F1005" s="103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42"/>
      <c r="U1005" s="43"/>
      <c r="V1005" s="44"/>
      <c r="W1005" s="45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</row>
    <row r="1006" spans="1:48" ht="13.5" customHeight="1">
      <c r="A1006" s="45"/>
      <c r="B1006" s="103"/>
      <c r="C1006" s="103"/>
      <c r="D1006" s="103"/>
      <c r="E1006" s="103"/>
      <c r="F1006" s="103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42"/>
      <c r="U1006" s="43"/>
      <c r="V1006" s="44"/>
      <c r="W1006" s="45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</row>
    <row r="1007" spans="1:48" ht="13.5" customHeight="1">
      <c r="A1007" s="45"/>
      <c r="B1007" s="103"/>
      <c r="C1007" s="103"/>
      <c r="D1007" s="103"/>
      <c r="E1007" s="103"/>
      <c r="F1007" s="103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42"/>
      <c r="U1007" s="43"/>
      <c r="V1007" s="44"/>
      <c r="W1007" s="45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</row>
    <row r="1008" spans="1:48" ht="13.5" customHeight="1">
      <c r="A1008" s="45"/>
      <c r="B1008" s="103"/>
      <c r="C1008" s="103"/>
      <c r="D1008" s="103"/>
      <c r="E1008" s="103"/>
      <c r="F1008" s="103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42"/>
      <c r="U1008" s="43"/>
      <c r="V1008" s="44"/>
      <c r="W1008" s="45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</row>
    <row r="1009" spans="1:48" ht="13.5" customHeight="1">
      <c r="A1009" s="45"/>
      <c r="B1009" s="103"/>
      <c r="C1009" s="103"/>
      <c r="D1009" s="103"/>
      <c r="E1009" s="103"/>
      <c r="F1009" s="103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42"/>
      <c r="U1009" s="43"/>
      <c r="V1009" s="44"/>
      <c r="W1009" s="45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</row>
    <row r="1010" spans="1:48" ht="13.5" customHeight="1">
      <c r="A1010" s="45"/>
      <c r="B1010" s="103"/>
      <c r="C1010" s="103"/>
      <c r="D1010" s="103"/>
      <c r="E1010" s="103"/>
      <c r="F1010" s="103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42"/>
      <c r="U1010" s="43"/>
      <c r="V1010" s="44"/>
      <c r="W1010" s="45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</row>
    <row r="1011" spans="1:48" ht="13.5" customHeight="1">
      <c r="A1011" s="45"/>
      <c r="B1011" s="103"/>
      <c r="C1011" s="103"/>
      <c r="D1011" s="103"/>
      <c r="E1011" s="103"/>
      <c r="F1011" s="103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42"/>
      <c r="U1011" s="43"/>
      <c r="V1011" s="44"/>
      <c r="W1011" s="45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</row>
    <row r="1012" spans="1:48" ht="13.5" customHeight="1">
      <c r="A1012" s="45"/>
      <c r="B1012" s="103"/>
      <c r="C1012" s="103"/>
      <c r="D1012" s="103"/>
      <c r="E1012" s="103"/>
      <c r="F1012" s="103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42"/>
      <c r="U1012" s="43"/>
      <c r="V1012" s="44"/>
      <c r="W1012" s="45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</row>
    <row r="1013" spans="1:48" ht="13.5" customHeight="1">
      <c r="A1013" s="45"/>
      <c r="B1013" s="103"/>
      <c r="C1013" s="103"/>
      <c r="D1013" s="103"/>
      <c r="E1013" s="103"/>
      <c r="F1013" s="103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42"/>
      <c r="U1013" s="43"/>
      <c r="V1013" s="44"/>
      <c r="W1013" s="45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</row>
    <row r="1014" spans="1:48" ht="13.5" customHeight="1">
      <c r="A1014" s="45"/>
      <c r="B1014" s="103"/>
      <c r="C1014" s="103"/>
      <c r="D1014" s="103"/>
      <c r="E1014" s="103"/>
      <c r="F1014" s="103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42"/>
      <c r="U1014" s="43"/>
      <c r="V1014" s="44"/>
      <c r="W1014" s="45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</row>
    <row r="1015" spans="1:48" ht="13.5" customHeight="1">
      <c r="A1015" s="45"/>
      <c r="B1015" s="103"/>
      <c r="C1015" s="103"/>
      <c r="D1015" s="103"/>
      <c r="E1015" s="103"/>
      <c r="F1015" s="103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42"/>
      <c r="U1015" s="43"/>
      <c r="V1015" s="44"/>
      <c r="W1015" s="45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</row>
  </sheetData>
  <mergeCells count="40">
    <mergeCell ref="V254:V255"/>
    <mergeCell ref="B295:T295"/>
    <mergeCell ref="A296:A297"/>
    <mergeCell ref="V296:V297"/>
    <mergeCell ref="T296:T297"/>
    <mergeCell ref="U296:U297"/>
    <mergeCell ref="B253:T253"/>
    <mergeCell ref="A254:A255"/>
    <mergeCell ref="T254:T255"/>
    <mergeCell ref="U254:U255"/>
    <mergeCell ref="B211:T211"/>
    <mergeCell ref="A212:A213"/>
    <mergeCell ref="T212:T213"/>
    <mergeCell ref="U212:U213"/>
    <mergeCell ref="V212:V213"/>
    <mergeCell ref="B169:T169"/>
    <mergeCell ref="A170:A171"/>
    <mergeCell ref="V170:V171"/>
    <mergeCell ref="T170:T171"/>
    <mergeCell ref="U170:U171"/>
    <mergeCell ref="B127:T127"/>
    <mergeCell ref="A128:A129"/>
    <mergeCell ref="T128:T129"/>
    <mergeCell ref="U128:U129"/>
    <mergeCell ref="V128:V129"/>
    <mergeCell ref="B85:T85"/>
    <mergeCell ref="A86:A87"/>
    <mergeCell ref="T86:T87"/>
    <mergeCell ref="U86:U87"/>
    <mergeCell ref="V86:V87"/>
    <mergeCell ref="B43:T43"/>
    <mergeCell ref="A44:A45"/>
    <mergeCell ref="V44:V45"/>
    <mergeCell ref="T44:T45"/>
    <mergeCell ref="U44:U45"/>
    <mergeCell ref="B1:S1"/>
    <mergeCell ref="A2:A3"/>
    <mergeCell ref="T2:T3"/>
    <mergeCell ref="U2:U3"/>
    <mergeCell ref="V2:V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FLIQ Payroll</vt:lpstr>
      <vt:lpstr>FLIQ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Degoma</dc:creator>
  <cp:lastModifiedBy>Jen Degoma</cp:lastModifiedBy>
  <cp:lastPrinted>2026-05-25T05:44:22Z</cp:lastPrinted>
  <dcterms:created xsi:type="dcterms:W3CDTF">2026-05-25T05:44:43Z</dcterms:created>
  <dcterms:modified xsi:type="dcterms:W3CDTF">2026-05-25T05:44:43Z</dcterms:modified>
</cp:coreProperties>
</file>